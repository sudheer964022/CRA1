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VMLabs-Pro\Camp\"/>
    </mc:Choice>
  </mc:AlternateContent>
  <xr:revisionPtr revIDLastSave="0" documentId="13_ncr:1_{48D6E07E-CBC6-41FA-AA96-92858A56A4B8}" xr6:coauthVersionLast="47" xr6:coauthVersionMax="47" xr10:uidLastSave="{00000000-0000-0000-0000-000000000000}"/>
  <bookViews>
    <workbookView xWindow="-108" yWindow="-108" windowWidth="23256" windowHeight="13896" activeTab="2" xr2:uid="{914329F1-0449-4911-B57E-09B8DBDB665D}"/>
  </bookViews>
  <sheets>
    <sheet name="CRL PROFILE" sheetId="1" r:id="rId1"/>
    <sheet name="LPL TESTS" sheetId="4" r:id="rId2"/>
    <sheet name="LPL PROFILE" sheetId="5" r:id="rId3"/>
    <sheet name="CRL TESTS" sheetId="2" r:id="rId4"/>
    <sheet name="SPECIALITY PROFILE" sheetId="3" r:id="rId5"/>
  </sheets>
  <definedNames>
    <definedName name="_xlnm._FilterDatabase" localSheetId="0" hidden="1">'CRL PROFILE'!$A$1:$O$1</definedName>
    <definedName name="_xlnm._FilterDatabase" localSheetId="3" hidden="1">'CRL TESTS'!$A$1:$P$1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9" i="3" l="1"/>
  <c r="L39" i="3" s="1"/>
  <c r="M39" i="3" s="1"/>
  <c r="K40" i="3"/>
  <c r="L40" i="3" s="1"/>
  <c r="M40" i="3" s="1"/>
  <c r="J39" i="3"/>
  <c r="J40" i="3"/>
  <c r="J38" i="3"/>
  <c r="K38" i="3"/>
  <c r="L38" i="3" s="1"/>
  <c r="M38" i="3" s="1"/>
  <c r="G39" i="3"/>
  <c r="G38" i="3"/>
  <c r="F39" i="3"/>
  <c r="F40" i="3"/>
  <c r="F38" i="3"/>
  <c r="E40" i="3"/>
  <c r="I40" i="3" s="1"/>
  <c r="G40" i="3"/>
  <c r="E39" i="3"/>
  <c r="I39" i="3"/>
  <c r="E38" i="3"/>
  <c r="I38" i="3"/>
  <c r="M52" i="2"/>
  <c r="N52" i="2"/>
  <c r="O52" i="2" s="1"/>
  <c r="P52" i="2" s="1"/>
  <c r="L52" i="2"/>
  <c r="J11" i="1"/>
  <c r="J12" i="1"/>
  <c r="J13" i="1"/>
  <c r="J14" i="1"/>
  <c r="J15" i="1"/>
  <c r="J16" i="1"/>
  <c r="J17" i="1"/>
  <c r="I11" i="1"/>
  <c r="I12" i="1"/>
  <c r="I13" i="1"/>
  <c r="I14" i="1"/>
  <c r="I15" i="1"/>
  <c r="I16" i="1"/>
  <c r="I17" i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K15" i="1"/>
  <c r="L15" i="1" s="1"/>
  <c r="M15" i="1" s="1"/>
  <c r="K16" i="1"/>
  <c r="L16" i="1" s="1"/>
  <c r="M16" i="1" s="1"/>
  <c r="K17" i="1"/>
  <c r="L17" i="1" s="1"/>
  <c r="M17" i="1" s="1"/>
  <c r="K3" i="1"/>
  <c r="L3" i="1" s="1"/>
  <c r="M3" i="1" s="1"/>
  <c r="K4" i="1"/>
  <c r="L4" i="1" s="1"/>
  <c r="M4" i="1" s="1"/>
  <c r="K5" i="1"/>
  <c r="L5" i="1" s="1"/>
  <c r="M5" i="1" s="1"/>
  <c r="K6" i="1"/>
  <c r="L6" i="1" s="1"/>
  <c r="M6" i="1" s="1"/>
  <c r="K7" i="1"/>
  <c r="L7" i="1" s="1"/>
  <c r="M7" i="1" s="1"/>
  <c r="K8" i="1"/>
  <c r="L8" i="1" s="1"/>
  <c r="M8" i="1" s="1"/>
  <c r="K9" i="1"/>
  <c r="L9" i="1" s="1"/>
  <c r="M9" i="1" s="1"/>
  <c r="K10" i="1"/>
  <c r="L10" i="1" s="1"/>
  <c r="M10" i="1" s="1"/>
  <c r="K2" i="1"/>
  <c r="L2" i="1" s="1"/>
  <c r="M2" i="1" s="1"/>
  <c r="J37" i="3"/>
  <c r="G37" i="3"/>
  <c r="E37" i="3"/>
  <c r="F37" i="3" s="1"/>
  <c r="G36" i="3"/>
  <c r="H36" i="3" s="1"/>
  <c r="E36" i="3"/>
  <c r="F36" i="3" s="1"/>
  <c r="G35" i="3"/>
  <c r="H35" i="3" s="1"/>
  <c r="J35" i="3" s="1"/>
  <c r="E35" i="3"/>
  <c r="F35" i="3" s="1"/>
  <c r="G34" i="3"/>
  <c r="H34" i="3" s="1"/>
  <c r="J34" i="3" s="1"/>
  <c r="E34" i="3"/>
  <c r="F34" i="3" s="1"/>
  <c r="G33" i="3"/>
  <c r="H33" i="3" s="1"/>
  <c r="E33" i="3"/>
  <c r="F33" i="3" s="1"/>
  <c r="G32" i="3"/>
  <c r="H32" i="3" s="1"/>
  <c r="E32" i="3"/>
  <c r="G31" i="3"/>
  <c r="H31" i="3" s="1"/>
  <c r="E31" i="3"/>
  <c r="G30" i="3"/>
  <c r="H30" i="3" s="1"/>
  <c r="E30" i="3"/>
  <c r="G29" i="3"/>
  <c r="H29" i="3" s="1"/>
  <c r="E29" i="3"/>
  <c r="F29" i="3" s="1"/>
  <c r="J28" i="3"/>
  <c r="G28" i="3"/>
  <c r="E28" i="3"/>
  <c r="F28" i="3" s="1"/>
  <c r="K28" i="3" s="1"/>
  <c r="L28" i="3" s="1"/>
  <c r="M28" i="3" s="1"/>
  <c r="J27" i="3"/>
  <c r="G27" i="3"/>
  <c r="E27" i="3"/>
  <c r="F27" i="3" s="1"/>
  <c r="K27" i="3" s="1"/>
  <c r="L27" i="3" s="1"/>
  <c r="M27" i="3" s="1"/>
  <c r="G26" i="3"/>
  <c r="H26" i="3" s="1"/>
  <c r="E26" i="3"/>
  <c r="F26" i="3" s="1"/>
  <c r="I26" i="3" s="1"/>
  <c r="G25" i="3"/>
  <c r="H25" i="3" s="1"/>
  <c r="J25" i="3" s="1"/>
  <c r="E25" i="3"/>
  <c r="F25" i="3" s="1"/>
  <c r="G24" i="3"/>
  <c r="H24" i="3" s="1"/>
  <c r="J24" i="3" s="1"/>
  <c r="E24" i="3"/>
  <c r="F24" i="3" s="1"/>
  <c r="I24" i="3" s="1"/>
  <c r="G23" i="3"/>
  <c r="H23" i="3" s="1"/>
  <c r="E23" i="3"/>
  <c r="F23" i="3" s="1"/>
  <c r="I23" i="3" s="1"/>
  <c r="G22" i="3"/>
  <c r="H22" i="3" s="1"/>
  <c r="E22" i="3"/>
  <c r="F22" i="3" s="1"/>
  <c r="I22" i="3" s="1"/>
  <c r="G21" i="3"/>
  <c r="H21" i="3" s="1"/>
  <c r="J21" i="3" s="1"/>
  <c r="E21" i="3"/>
  <c r="F21" i="3" s="1"/>
  <c r="I21" i="3" s="1"/>
  <c r="G20" i="3"/>
  <c r="H20" i="3" s="1"/>
  <c r="E20" i="3"/>
  <c r="F20" i="3" s="1"/>
  <c r="I20" i="3" s="1"/>
  <c r="G19" i="3"/>
  <c r="H19" i="3" s="1"/>
  <c r="E19" i="3"/>
  <c r="F19" i="3" s="1"/>
  <c r="I19" i="3" s="1"/>
  <c r="G18" i="3"/>
  <c r="H18" i="3" s="1"/>
  <c r="E18" i="3"/>
  <c r="F18" i="3" s="1"/>
  <c r="I18" i="3" s="1"/>
  <c r="G17" i="3"/>
  <c r="H17" i="3" s="1"/>
  <c r="E17" i="3"/>
  <c r="F17" i="3" s="1"/>
  <c r="I17" i="3" s="1"/>
  <c r="G16" i="3"/>
  <c r="H16" i="3" s="1"/>
  <c r="J16" i="3" s="1"/>
  <c r="E16" i="3"/>
  <c r="F16" i="3" s="1"/>
  <c r="I16" i="3" s="1"/>
  <c r="G15" i="3"/>
  <c r="H15" i="3" s="1"/>
  <c r="E15" i="3"/>
  <c r="F15" i="3" s="1"/>
  <c r="I15" i="3" s="1"/>
  <c r="G14" i="3"/>
  <c r="H14" i="3" s="1"/>
  <c r="J14" i="3" s="1"/>
  <c r="E14" i="3"/>
  <c r="F14" i="3" s="1"/>
  <c r="I14" i="3" s="1"/>
  <c r="G13" i="3"/>
  <c r="H13" i="3" s="1"/>
  <c r="J13" i="3" s="1"/>
  <c r="E13" i="3"/>
  <c r="F13" i="3" s="1"/>
  <c r="I13" i="3" s="1"/>
  <c r="G12" i="3"/>
  <c r="H12" i="3" s="1"/>
  <c r="J12" i="3" s="1"/>
  <c r="E12" i="3"/>
  <c r="F12" i="3" s="1"/>
  <c r="I12" i="3" s="1"/>
  <c r="G11" i="3"/>
  <c r="H11" i="3" s="1"/>
  <c r="E11" i="3"/>
  <c r="F11" i="3" s="1"/>
  <c r="I11" i="3" s="1"/>
  <c r="G10" i="3"/>
  <c r="H10" i="3" s="1"/>
  <c r="J10" i="3" s="1"/>
  <c r="E10" i="3"/>
  <c r="F10" i="3" s="1"/>
  <c r="I10" i="3" s="1"/>
  <c r="G9" i="3"/>
  <c r="H9" i="3" s="1"/>
  <c r="E9" i="3"/>
  <c r="F9" i="3" s="1"/>
  <c r="I9" i="3" s="1"/>
  <c r="G8" i="3"/>
  <c r="H8" i="3" s="1"/>
  <c r="E8" i="3"/>
  <c r="F8" i="3" s="1"/>
  <c r="I8" i="3" s="1"/>
  <c r="G7" i="3"/>
  <c r="H7" i="3" s="1"/>
  <c r="E7" i="3"/>
  <c r="F7" i="3" s="1"/>
  <c r="I7" i="3" s="1"/>
  <c r="G6" i="3"/>
  <c r="H6" i="3" s="1"/>
  <c r="E6" i="3"/>
  <c r="F6" i="3" s="1"/>
  <c r="I6" i="3" s="1"/>
  <c r="G5" i="3"/>
  <c r="H5" i="3" s="1"/>
  <c r="J5" i="3" s="1"/>
  <c r="E5" i="3"/>
  <c r="F5" i="3" s="1"/>
  <c r="I5" i="3" s="1"/>
  <c r="G4" i="3"/>
  <c r="H4" i="3" s="1"/>
  <c r="E4" i="3"/>
  <c r="F4" i="3" s="1"/>
  <c r="I4" i="3" s="1"/>
  <c r="G3" i="3"/>
  <c r="H3" i="3" s="1"/>
  <c r="E3" i="3"/>
  <c r="F3" i="3" s="1"/>
  <c r="I3" i="3" s="1"/>
  <c r="G2" i="3"/>
  <c r="H2" i="3" s="1"/>
  <c r="E2" i="3"/>
  <c r="F2" i="3" s="1"/>
  <c r="I2" i="3" s="1"/>
  <c r="N94" i="2"/>
  <c r="O94" i="2" s="1"/>
  <c r="P94" i="2" s="1"/>
  <c r="M94" i="2"/>
  <c r="L94" i="2"/>
  <c r="N78" i="2"/>
  <c r="O78" i="2" s="1"/>
  <c r="P78" i="2" s="1"/>
  <c r="M78" i="2"/>
  <c r="L78" i="2"/>
  <c r="N77" i="2"/>
  <c r="O77" i="2" s="1"/>
  <c r="P77" i="2" s="1"/>
  <c r="M77" i="2"/>
  <c r="L77" i="2"/>
  <c r="N51" i="2"/>
  <c r="O51" i="2" s="1"/>
  <c r="P51" i="2" s="1"/>
  <c r="M51" i="2"/>
  <c r="L51" i="2"/>
  <c r="N50" i="2"/>
  <c r="O50" i="2" s="1"/>
  <c r="P50" i="2" s="1"/>
  <c r="M50" i="2"/>
  <c r="L50" i="2"/>
  <c r="N49" i="2"/>
  <c r="O49" i="2" s="1"/>
  <c r="P49" i="2" s="1"/>
  <c r="M49" i="2"/>
  <c r="L49" i="2"/>
  <c r="N76" i="2"/>
  <c r="O76" i="2" s="1"/>
  <c r="P76" i="2" s="1"/>
  <c r="M76" i="2"/>
  <c r="L76" i="2"/>
  <c r="N48" i="2"/>
  <c r="O48" i="2" s="1"/>
  <c r="P48" i="2" s="1"/>
  <c r="M48" i="2"/>
  <c r="L48" i="2"/>
  <c r="N75" i="2"/>
  <c r="O75" i="2" s="1"/>
  <c r="P75" i="2" s="1"/>
  <c r="M75" i="2"/>
  <c r="L75" i="2"/>
  <c r="N74" i="2"/>
  <c r="O74" i="2" s="1"/>
  <c r="P74" i="2" s="1"/>
  <c r="M74" i="2"/>
  <c r="L74" i="2"/>
  <c r="N73" i="2"/>
  <c r="O73" i="2" s="1"/>
  <c r="P73" i="2" s="1"/>
  <c r="M73" i="2"/>
  <c r="L73" i="2"/>
  <c r="N72" i="2"/>
  <c r="O72" i="2" s="1"/>
  <c r="P72" i="2" s="1"/>
  <c r="M72" i="2"/>
  <c r="L72" i="2"/>
  <c r="N71" i="2"/>
  <c r="O71" i="2" s="1"/>
  <c r="P71" i="2" s="1"/>
  <c r="M71" i="2"/>
  <c r="L71" i="2"/>
  <c r="N70" i="2"/>
  <c r="O70" i="2" s="1"/>
  <c r="P70" i="2" s="1"/>
  <c r="M70" i="2"/>
  <c r="L70" i="2"/>
  <c r="N69" i="2"/>
  <c r="O69" i="2" s="1"/>
  <c r="P69" i="2" s="1"/>
  <c r="M69" i="2"/>
  <c r="L69" i="2"/>
  <c r="N68" i="2"/>
  <c r="O68" i="2" s="1"/>
  <c r="P68" i="2" s="1"/>
  <c r="M68" i="2"/>
  <c r="L68" i="2"/>
  <c r="N67" i="2"/>
  <c r="O67" i="2" s="1"/>
  <c r="P67" i="2" s="1"/>
  <c r="M67" i="2"/>
  <c r="L67" i="2"/>
  <c r="N66" i="2"/>
  <c r="O66" i="2" s="1"/>
  <c r="P66" i="2" s="1"/>
  <c r="M66" i="2"/>
  <c r="L66" i="2"/>
  <c r="N65" i="2"/>
  <c r="O65" i="2" s="1"/>
  <c r="P65" i="2" s="1"/>
  <c r="M65" i="2"/>
  <c r="L65" i="2"/>
  <c r="N64" i="2"/>
  <c r="O64" i="2" s="1"/>
  <c r="P64" i="2" s="1"/>
  <c r="M64" i="2"/>
  <c r="L64" i="2"/>
  <c r="N63" i="2"/>
  <c r="O63" i="2" s="1"/>
  <c r="P63" i="2" s="1"/>
  <c r="M63" i="2"/>
  <c r="L63" i="2"/>
  <c r="N62" i="2"/>
  <c r="O62" i="2" s="1"/>
  <c r="P62" i="2" s="1"/>
  <c r="M62" i="2"/>
  <c r="L62" i="2"/>
  <c r="N61" i="2"/>
  <c r="O61" i="2" s="1"/>
  <c r="P61" i="2" s="1"/>
  <c r="M61" i="2"/>
  <c r="L61" i="2"/>
  <c r="N60" i="2"/>
  <c r="O60" i="2" s="1"/>
  <c r="P60" i="2" s="1"/>
  <c r="M60" i="2"/>
  <c r="L60" i="2"/>
  <c r="N59" i="2"/>
  <c r="O59" i="2" s="1"/>
  <c r="P59" i="2" s="1"/>
  <c r="M59" i="2"/>
  <c r="L59" i="2"/>
  <c r="N58" i="2"/>
  <c r="O58" i="2" s="1"/>
  <c r="P58" i="2" s="1"/>
  <c r="M58" i="2"/>
  <c r="L58" i="2"/>
  <c r="N57" i="2"/>
  <c r="O57" i="2" s="1"/>
  <c r="P57" i="2" s="1"/>
  <c r="M57" i="2"/>
  <c r="L57" i="2"/>
  <c r="N56" i="2"/>
  <c r="O56" i="2" s="1"/>
  <c r="P56" i="2" s="1"/>
  <c r="M56" i="2"/>
  <c r="L56" i="2"/>
  <c r="N47" i="2"/>
  <c r="O47" i="2" s="1"/>
  <c r="P47" i="2" s="1"/>
  <c r="M47" i="2"/>
  <c r="L47" i="2"/>
  <c r="N46" i="2"/>
  <c r="O46" i="2" s="1"/>
  <c r="P46" i="2" s="1"/>
  <c r="M46" i="2"/>
  <c r="L46" i="2"/>
  <c r="N45" i="2"/>
  <c r="O45" i="2" s="1"/>
  <c r="P45" i="2" s="1"/>
  <c r="M45" i="2"/>
  <c r="L45" i="2"/>
  <c r="N44" i="2"/>
  <c r="O44" i="2" s="1"/>
  <c r="P44" i="2" s="1"/>
  <c r="M44" i="2"/>
  <c r="L44" i="2"/>
  <c r="N43" i="2"/>
  <c r="O43" i="2" s="1"/>
  <c r="P43" i="2" s="1"/>
  <c r="M43" i="2"/>
  <c r="L43" i="2"/>
  <c r="N42" i="2"/>
  <c r="O42" i="2" s="1"/>
  <c r="P42" i="2" s="1"/>
  <c r="M42" i="2"/>
  <c r="L42" i="2"/>
  <c r="N41" i="2"/>
  <c r="O41" i="2" s="1"/>
  <c r="P41" i="2" s="1"/>
  <c r="M41" i="2"/>
  <c r="L41" i="2"/>
  <c r="N40" i="2"/>
  <c r="O40" i="2" s="1"/>
  <c r="P40" i="2" s="1"/>
  <c r="M40" i="2"/>
  <c r="L40" i="2"/>
  <c r="N39" i="2"/>
  <c r="O39" i="2" s="1"/>
  <c r="P39" i="2" s="1"/>
  <c r="M39" i="2"/>
  <c r="L39" i="2"/>
  <c r="N38" i="2"/>
  <c r="O38" i="2" s="1"/>
  <c r="P38" i="2" s="1"/>
  <c r="M38" i="2"/>
  <c r="L38" i="2"/>
  <c r="N37" i="2"/>
  <c r="O37" i="2" s="1"/>
  <c r="P37" i="2" s="1"/>
  <c r="M37" i="2"/>
  <c r="L37" i="2"/>
  <c r="N93" i="2"/>
  <c r="O93" i="2" s="1"/>
  <c r="P93" i="2" s="1"/>
  <c r="M93" i="2"/>
  <c r="L93" i="2"/>
  <c r="N92" i="2"/>
  <c r="O92" i="2" s="1"/>
  <c r="P92" i="2" s="1"/>
  <c r="M92" i="2"/>
  <c r="L92" i="2"/>
  <c r="N91" i="2"/>
  <c r="O91" i="2" s="1"/>
  <c r="P91" i="2" s="1"/>
  <c r="M91" i="2"/>
  <c r="L91" i="2"/>
  <c r="N90" i="2"/>
  <c r="O90" i="2" s="1"/>
  <c r="P90" i="2" s="1"/>
  <c r="M90" i="2"/>
  <c r="L90" i="2"/>
  <c r="N89" i="2"/>
  <c r="O89" i="2" s="1"/>
  <c r="P89" i="2" s="1"/>
  <c r="M89" i="2"/>
  <c r="L89" i="2"/>
  <c r="N88" i="2"/>
  <c r="O88" i="2" s="1"/>
  <c r="P88" i="2" s="1"/>
  <c r="M88" i="2"/>
  <c r="L88" i="2"/>
  <c r="N87" i="2"/>
  <c r="O87" i="2" s="1"/>
  <c r="P87" i="2" s="1"/>
  <c r="M87" i="2"/>
  <c r="L87" i="2"/>
  <c r="N36" i="2"/>
  <c r="O36" i="2" s="1"/>
  <c r="P36" i="2" s="1"/>
  <c r="M36" i="2"/>
  <c r="L36" i="2"/>
  <c r="N35" i="2"/>
  <c r="O35" i="2" s="1"/>
  <c r="P35" i="2" s="1"/>
  <c r="M35" i="2"/>
  <c r="L35" i="2"/>
  <c r="N114" i="2"/>
  <c r="O114" i="2" s="1"/>
  <c r="P114" i="2" s="1"/>
  <c r="M114" i="2"/>
  <c r="L114" i="2"/>
  <c r="N113" i="2"/>
  <c r="O113" i="2" s="1"/>
  <c r="P113" i="2" s="1"/>
  <c r="M113" i="2"/>
  <c r="L113" i="2"/>
  <c r="N106" i="2"/>
  <c r="O106" i="2" s="1"/>
  <c r="P106" i="2" s="1"/>
  <c r="M106" i="2"/>
  <c r="L106" i="2"/>
  <c r="N124" i="2"/>
  <c r="O124" i="2" s="1"/>
  <c r="P124" i="2" s="1"/>
  <c r="M124" i="2"/>
  <c r="L124" i="2"/>
  <c r="N105" i="2"/>
  <c r="O105" i="2" s="1"/>
  <c r="P105" i="2" s="1"/>
  <c r="M105" i="2"/>
  <c r="L105" i="2"/>
  <c r="N104" i="2"/>
  <c r="O104" i="2" s="1"/>
  <c r="P104" i="2" s="1"/>
  <c r="M104" i="2"/>
  <c r="L104" i="2"/>
  <c r="N123" i="2"/>
  <c r="O123" i="2" s="1"/>
  <c r="P123" i="2" s="1"/>
  <c r="M123" i="2"/>
  <c r="L123" i="2"/>
  <c r="N122" i="2"/>
  <c r="O122" i="2" s="1"/>
  <c r="P122" i="2" s="1"/>
  <c r="M122" i="2"/>
  <c r="L122" i="2"/>
  <c r="N112" i="2"/>
  <c r="O112" i="2" s="1"/>
  <c r="P112" i="2" s="1"/>
  <c r="M112" i="2"/>
  <c r="L112" i="2"/>
  <c r="N111" i="2"/>
  <c r="O111" i="2" s="1"/>
  <c r="P111" i="2" s="1"/>
  <c r="M111" i="2"/>
  <c r="L111" i="2"/>
  <c r="N133" i="2"/>
  <c r="O133" i="2" s="1"/>
  <c r="P133" i="2" s="1"/>
  <c r="M133" i="2"/>
  <c r="L133" i="2"/>
  <c r="N102" i="2"/>
  <c r="O102" i="2" s="1"/>
  <c r="P102" i="2" s="1"/>
  <c r="M102" i="2"/>
  <c r="L102" i="2"/>
  <c r="N121" i="2"/>
  <c r="O121" i="2" s="1"/>
  <c r="P121" i="2" s="1"/>
  <c r="M121" i="2"/>
  <c r="L121" i="2"/>
  <c r="N120" i="2"/>
  <c r="O120" i="2" s="1"/>
  <c r="P120" i="2" s="1"/>
  <c r="M120" i="2"/>
  <c r="L120" i="2"/>
  <c r="N110" i="2"/>
  <c r="O110" i="2" s="1"/>
  <c r="P110" i="2" s="1"/>
  <c r="M110" i="2"/>
  <c r="L110" i="2"/>
  <c r="N109" i="2"/>
  <c r="O109" i="2" s="1"/>
  <c r="P109" i="2" s="1"/>
  <c r="M109" i="2"/>
  <c r="L109" i="2"/>
  <c r="N136" i="2"/>
  <c r="O136" i="2" s="1"/>
  <c r="P136" i="2" s="1"/>
  <c r="M136" i="2"/>
  <c r="L136" i="2"/>
  <c r="N135" i="2"/>
  <c r="O135" i="2" s="1"/>
  <c r="P135" i="2" s="1"/>
  <c r="M135" i="2"/>
  <c r="L135" i="2"/>
  <c r="N132" i="2"/>
  <c r="O132" i="2" s="1"/>
  <c r="P132" i="2" s="1"/>
  <c r="M132" i="2"/>
  <c r="L132" i="2"/>
  <c r="L131" i="2"/>
  <c r="I131" i="2"/>
  <c r="N131" i="2" s="1"/>
  <c r="O131" i="2" s="1"/>
  <c r="P131" i="2" s="1"/>
  <c r="N148" i="2"/>
  <c r="O148" i="2" s="1"/>
  <c r="P148" i="2" s="1"/>
  <c r="M148" i="2"/>
  <c r="L148" i="2"/>
  <c r="N86" i="2"/>
  <c r="O86" i="2" s="1"/>
  <c r="P86" i="2" s="1"/>
  <c r="M86" i="2"/>
  <c r="L86" i="2"/>
  <c r="N34" i="2"/>
  <c r="O34" i="2" s="1"/>
  <c r="P34" i="2" s="1"/>
  <c r="M34" i="2"/>
  <c r="L34" i="2"/>
  <c r="N85" i="2"/>
  <c r="O85" i="2" s="1"/>
  <c r="P85" i="2" s="1"/>
  <c r="M85" i="2"/>
  <c r="L85" i="2"/>
  <c r="N55" i="2"/>
  <c r="O55" i="2" s="1"/>
  <c r="P55" i="2" s="1"/>
  <c r="M55" i="2"/>
  <c r="L55" i="2"/>
  <c r="N84" i="2"/>
  <c r="O84" i="2" s="1"/>
  <c r="P84" i="2" s="1"/>
  <c r="M84" i="2"/>
  <c r="L84" i="2"/>
  <c r="N129" i="2"/>
  <c r="O129" i="2" s="1"/>
  <c r="P129" i="2" s="1"/>
  <c r="M129" i="2"/>
  <c r="L129" i="2"/>
  <c r="N33" i="2"/>
  <c r="O33" i="2" s="1"/>
  <c r="P33" i="2" s="1"/>
  <c r="M33" i="2"/>
  <c r="L33" i="2"/>
  <c r="N101" i="2"/>
  <c r="O101" i="2" s="1"/>
  <c r="P101" i="2" s="1"/>
  <c r="M101" i="2"/>
  <c r="L101" i="2"/>
  <c r="N83" i="2"/>
  <c r="O83" i="2" s="1"/>
  <c r="P83" i="2" s="1"/>
  <c r="M83" i="2"/>
  <c r="L83" i="2"/>
  <c r="N119" i="2"/>
  <c r="O119" i="2" s="1"/>
  <c r="P119" i="2" s="1"/>
  <c r="M119" i="2"/>
  <c r="L119" i="2"/>
  <c r="N128" i="2"/>
  <c r="O128" i="2" s="1"/>
  <c r="P128" i="2" s="1"/>
  <c r="M128" i="2"/>
  <c r="L128" i="2"/>
  <c r="N127" i="2"/>
  <c r="O127" i="2" s="1"/>
  <c r="P127" i="2" s="1"/>
  <c r="M127" i="2"/>
  <c r="L127" i="2"/>
  <c r="N100" i="2"/>
  <c r="O100" i="2" s="1"/>
  <c r="P100" i="2" s="1"/>
  <c r="M100" i="2"/>
  <c r="L100" i="2"/>
  <c r="N130" i="2"/>
  <c r="O130" i="2" s="1"/>
  <c r="P130" i="2" s="1"/>
  <c r="M130" i="2"/>
  <c r="L130" i="2"/>
  <c r="N118" i="2"/>
  <c r="O118" i="2" s="1"/>
  <c r="P118" i="2" s="1"/>
  <c r="M118" i="2"/>
  <c r="L118" i="2"/>
  <c r="N134" i="2"/>
  <c r="O134" i="2" s="1"/>
  <c r="P134" i="2" s="1"/>
  <c r="M134" i="2"/>
  <c r="L134" i="2"/>
  <c r="N117" i="2"/>
  <c r="O117" i="2" s="1"/>
  <c r="P117" i="2" s="1"/>
  <c r="M117" i="2"/>
  <c r="L117" i="2"/>
  <c r="N108" i="2"/>
  <c r="O108" i="2" s="1"/>
  <c r="P108" i="2" s="1"/>
  <c r="M108" i="2"/>
  <c r="L108" i="2"/>
  <c r="N32" i="2"/>
  <c r="O32" i="2" s="1"/>
  <c r="P32" i="2" s="1"/>
  <c r="M32" i="2"/>
  <c r="L32" i="2"/>
  <c r="N31" i="2"/>
  <c r="O31" i="2" s="1"/>
  <c r="P31" i="2" s="1"/>
  <c r="M31" i="2"/>
  <c r="L31" i="2"/>
  <c r="N126" i="2"/>
  <c r="O126" i="2" s="1"/>
  <c r="P126" i="2" s="1"/>
  <c r="M126" i="2"/>
  <c r="L126" i="2"/>
  <c r="N125" i="2"/>
  <c r="O125" i="2" s="1"/>
  <c r="P125" i="2" s="1"/>
  <c r="M125" i="2"/>
  <c r="L125" i="2"/>
  <c r="N30" i="2"/>
  <c r="O30" i="2" s="1"/>
  <c r="P30" i="2" s="1"/>
  <c r="M30" i="2"/>
  <c r="L30" i="2"/>
  <c r="N82" i="2"/>
  <c r="O82" i="2" s="1"/>
  <c r="P82" i="2" s="1"/>
  <c r="M82" i="2"/>
  <c r="L82" i="2"/>
  <c r="N54" i="2"/>
  <c r="O54" i="2" s="1"/>
  <c r="P54" i="2" s="1"/>
  <c r="M54" i="2"/>
  <c r="L54" i="2"/>
  <c r="N81" i="2"/>
  <c r="O81" i="2" s="1"/>
  <c r="P81" i="2" s="1"/>
  <c r="M81" i="2"/>
  <c r="L81" i="2"/>
  <c r="N107" i="2"/>
  <c r="O107" i="2" s="1"/>
  <c r="P107" i="2" s="1"/>
  <c r="M107" i="2"/>
  <c r="L107" i="2"/>
  <c r="N29" i="2"/>
  <c r="O29" i="2" s="1"/>
  <c r="P29" i="2" s="1"/>
  <c r="M29" i="2"/>
  <c r="L29" i="2"/>
  <c r="N99" i="2"/>
  <c r="O99" i="2" s="1"/>
  <c r="P99" i="2" s="1"/>
  <c r="M99" i="2"/>
  <c r="L99" i="2"/>
  <c r="N98" i="2"/>
  <c r="O98" i="2" s="1"/>
  <c r="P98" i="2" s="1"/>
  <c r="M98" i="2"/>
  <c r="L98" i="2"/>
  <c r="N103" i="2"/>
  <c r="O103" i="2" s="1"/>
  <c r="P103" i="2" s="1"/>
  <c r="M103" i="2"/>
  <c r="L103" i="2"/>
  <c r="N80" i="2"/>
  <c r="O80" i="2" s="1"/>
  <c r="P80" i="2" s="1"/>
  <c r="M80" i="2"/>
  <c r="L80" i="2"/>
  <c r="N28" i="2"/>
  <c r="O28" i="2" s="1"/>
  <c r="P28" i="2" s="1"/>
  <c r="M28" i="2"/>
  <c r="L28" i="2"/>
  <c r="N116" i="2"/>
  <c r="O116" i="2" s="1"/>
  <c r="P116" i="2" s="1"/>
  <c r="M116" i="2"/>
  <c r="L116" i="2"/>
  <c r="N27" i="2"/>
  <c r="O27" i="2" s="1"/>
  <c r="P27" i="2" s="1"/>
  <c r="M27" i="2"/>
  <c r="L27" i="2"/>
  <c r="N97" i="2"/>
  <c r="O97" i="2" s="1"/>
  <c r="P97" i="2" s="1"/>
  <c r="M97" i="2"/>
  <c r="L97" i="2"/>
  <c r="N79" i="2"/>
  <c r="O79" i="2" s="1"/>
  <c r="P79" i="2" s="1"/>
  <c r="M79" i="2"/>
  <c r="L79" i="2"/>
  <c r="N26" i="2"/>
  <c r="O26" i="2" s="1"/>
  <c r="P26" i="2" s="1"/>
  <c r="M26" i="2"/>
  <c r="L26" i="2"/>
  <c r="N96" i="2"/>
  <c r="O96" i="2" s="1"/>
  <c r="P96" i="2" s="1"/>
  <c r="M96" i="2"/>
  <c r="L96" i="2"/>
  <c r="N25" i="2"/>
  <c r="O25" i="2" s="1"/>
  <c r="P25" i="2" s="1"/>
  <c r="M25" i="2"/>
  <c r="L25" i="2"/>
  <c r="N13" i="2"/>
  <c r="O13" i="2" s="1"/>
  <c r="P13" i="2" s="1"/>
  <c r="M13" i="2"/>
  <c r="L13" i="2"/>
  <c r="N53" i="2"/>
  <c r="O53" i="2" s="1"/>
  <c r="P53" i="2" s="1"/>
  <c r="M53" i="2"/>
  <c r="L53" i="2"/>
  <c r="N24" i="2"/>
  <c r="O24" i="2" s="1"/>
  <c r="P24" i="2" s="1"/>
  <c r="M24" i="2"/>
  <c r="L24" i="2"/>
  <c r="N95" i="2"/>
  <c r="O95" i="2" s="1"/>
  <c r="P95" i="2" s="1"/>
  <c r="M95" i="2"/>
  <c r="L95" i="2"/>
  <c r="N12" i="2"/>
  <c r="O12" i="2" s="1"/>
  <c r="P12" i="2" s="1"/>
  <c r="M12" i="2"/>
  <c r="L12" i="2"/>
  <c r="N23" i="2"/>
  <c r="O23" i="2" s="1"/>
  <c r="P23" i="2" s="1"/>
  <c r="M23" i="2"/>
  <c r="L23" i="2"/>
  <c r="N147" i="2"/>
  <c r="O147" i="2" s="1"/>
  <c r="P147" i="2" s="1"/>
  <c r="M147" i="2"/>
  <c r="L147" i="2"/>
  <c r="N22" i="2"/>
  <c r="O22" i="2" s="1"/>
  <c r="P22" i="2" s="1"/>
  <c r="M22" i="2"/>
  <c r="L22" i="2"/>
  <c r="N21" i="2"/>
  <c r="O21" i="2" s="1"/>
  <c r="P21" i="2" s="1"/>
  <c r="M21" i="2"/>
  <c r="L21" i="2"/>
  <c r="N20" i="2"/>
  <c r="O20" i="2" s="1"/>
  <c r="P20" i="2" s="1"/>
  <c r="M20" i="2"/>
  <c r="L20" i="2"/>
  <c r="N19" i="2"/>
  <c r="O19" i="2" s="1"/>
  <c r="P19" i="2" s="1"/>
  <c r="M19" i="2"/>
  <c r="L19" i="2"/>
  <c r="N18" i="2"/>
  <c r="O18" i="2" s="1"/>
  <c r="P18" i="2" s="1"/>
  <c r="M18" i="2"/>
  <c r="L18" i="2"/>
  <c r="N17" i="2"/>
  <c r="O17" i="2" s="1"/>
  <c r="P17" i="2" s="1"/>
  <c r="M17" i="2"/>
  <c r="L17" i="2"/>
  <c r="N16" i="2"/>
  <c r="O16" i="2" s="1"/>
  <c r="P16" i="2" s="1"/>
  <c r="M16" i="2"/>
  <c r="L16" i="2"/>
  <c r="N15" i="2"/>
  <c r="O15" i="2" s="1"/>
  <c r="P15" i="2" s="1"/>
  <c r="M15" i="2"/>
  <c r="L15" i="2"/>
  <c r="N11" i="2"/>
  <c r="O11" i="2" s="1"/>
  <c r="P11" i="2" s="1"/>
  <c r="M11" i="2"/>
  <c r="L11" i="2"/>
  <c r="N10" i="2"/>
  <c r="O10" i="2" s="1"/>
  <c r="P10" i="2" s="1"/>
  <c r="M10" i="2"/>
  <c r="L10" i="2"/>
  <c r="N9" i="2"/>
  <c r="O9" i="2" s="1"/>
  <c r="P9" i="2" s="1"/>
  <c r="M9" i="2"/>
  <c r="L9" i="2"/>
  <c r="N8" i="2"/>
  <c r="O8" i="2" s="1"/>
  <c r="P8" i="2" s="1"/>
  <c r="M8" i="2"/>
  <c r="L8" i="2"/>
  <c r="N7" i="2"/>
  <c r="O7" i="2" s="1"/>
  <c r="P7" i="2" s="1"/>
  <c r="M7" i="2"/>
  <c r="L7" i="2"/>
  <c r="N6" i="2"/>
  <c r="O6" i="2" s="1"/>
  <c r="P6" i="2" s="1"/>
  <c r="M6" i="2"/>
  <c r="L6" i="2"/>
  <c r="N5" i="2"/>
  <c r="O5" i="2" s="1"/>
  <c r="P5" i="2" s="1"/>
  <c r="M5" i="2"/>
  <c r="L5" i="2"/>
  <c r="N4" i="2"/>
  <c r="O4" i="2" s="1"/>
  <c r="P4" i="2" s="1"/>
  <c r="M4" i="2"/>
  <c r="L4" i="2"/>
  <c r="N3" i="2"/>
  <c r="O3" i="2" s="1"/>
  <c r="P3" i="2" s="1"/>
  <c r="M3" i="2"/>
  <c r="L3" i="2"/>
  <c r="N2" i="2"/>
  <c r="O2" i="2" s="1"/>
  <c r="P2" i="2" s="1"/>
  <c r="M2" i="2"/>
  <c r="L2" i="2"/>
  <c r="N14" i="2"/>
  <c r="O14" i="2" s="1"/>
  <c r="P14" i="2" s="1"/>
  <c r="M14" i="2"/>
  <c r="L14" i="2"/>
  <c r="N146" i="2"/>
  <c r="O146" i="2" s="1"/>
  <c r="P146" i="2" s="1"/>
  <c r="M146" i="2"/>
  <c r="L146" i="2"/>
  <c r="N145" i="2"/>
  <c r="O145" i="2" s="1"/>
  <c r="P145" i="2" s="1"/>
  <c r="M145" i="2"/>
  <c r="L145" i="2"/>
  <c r="N144" i="2"/>
  <c r="O144" i="2" s="1"/>
  <c r="P144" i="2" s="1"/>
  <c r="M144" i="2"/>
  <c r="L144" i="2"/>
  <c r="N143" i="2"/>
  <c r="O143" i="2" s="1"/>
  <c r="P143" i="2" s="1"/>
  <c r="M143" i="2"/>
  <c r="L143" i="2"/>
  <c r="N142" i="2"/>
  <c r="O142" i="2" s="1"/>
  <c r="P142" i="2" s="1"/>
  <c r="M142" i="2"/>
  <c r="L142" i="2"/>
  <c r="N141" i="2"/>
  <c r="O141" i="2" s="1"/>
  <c r="P141" i="2" s="1"/>
  <c r="M141" i="2"/>
  <c r="L141" i="2"/>
  <c r="N140" i="2"/>
  <c r="O140" i="2" s="1"/>
  <c r="P140" i="2" s="1"/>
  <c r="M140" i="2"/>
  <c r="L140" i="2"/>
  <c r="N139" i="2"/>
  <c r="O139" i="2" s="1"/>
  <c r="P139" i="2" s="1"/>
  <c r="M139" i="2"/>
  <c r="L139" i="2"/>
  <c r="N138" i="2"/>
  <c r="O138" i="2" s="1"/>
  <c r="P138" i="2" s="1"/>
  <c r="M138" i="2"/>
  <c r="L138" i="2"/>
  <c r="N137" i="2"/>
  <c r="O137" i="2" s="1"/>
  <c r="P137" i="2" s="1"/>
  <c r="M137" i="2"/>
  <c r="L137" i="2"/>
  <c r="N115" i="2"/>
  <c r="O115" i="2" s="1"/>
  <c r="P115" i="2" s="1"/>
  <c r="M115" i="2"/>
  <c r="L115" i="2"/>
  <c r="J6" i="1"/>
  <c r="J9" i="1"/>
  <c r="J5" i="1"/>
  <c r="J8" i="1"/>
  <c r="J7" i="1"/>
  <c r="J4" i="1"/>
  <c r="J2" i="1"/>
  <c r="J3" i="1"/>
  <c r="J10" i="1"/>
  <c r="I6" i="1"/>
  <c r="I9" i="1"/>
  <c r="I5" i="1"/>
  <c r="I8" i="1"/>
  <c r="I7" i="1"/>
  <c r="I4" i="1"/>
  <c r="I2" i="1"/>
  <c r="I3" i="1"/>
  <c r="I10" i="1"/>
  <c r="I35" i="3" l="1"/>
  <c r="I36" i="3"/>
  <c r="F31" i="3"/>
  <c r="I31" i="3" s="1"/>
  <c r="I29" i="3"/>
  <c r="I33" i="3"/>
  <c r="F32" i="3"/>
  <c r="I32" i="3" s="1"/>
  <c r="F30" i="3"/>
  <c r="I30" i="3" s="1"/>
  <c r="K37" i="3"/>
  <c r="L37" i="3" s="1"/>
  <c r="M37" i="3" s="1"/>
  <c r="I34" i="3"/>
  <c r="I28" i="3"/>
  <c r="K26" i="3"/>
  <c r="L26" i="3" s="1"/>
  <c r="M26" i="3" s="1"/>
  <c r="I25" i="3"/>
  <c r="K25" i="3"/>
  <c r="L25" i="3" s="1"/>
  <c r="M25" i="3" s="1"/>
  <c r="K9" i="3"/>
  <c r="L9" i="3" s="1"/>
  <c r="M9" i="3" s="1"/>
  <c r="K13" i="3"/>
  <c r="L13" i="3" s="1"/>
  <c r="M13" i="3" s="1"/>
  <c r="J9" i="3"/>
  <c r="K34" i="3"/>
  <c r="L34" i="3" s="1"/>
  <c r="M34" i="3" s="1"/>
  <c r="K17" i="3"/>
  <c r="L17" i="3" s="1"/>
  <c r="M17" i="3" s="1"/>
  <c r="I27" i="3"/>
  <c r="K36" i="3"/>
  <c r="L36" i="3" s="1"/>
  <c r="M36" i="3" s="1"/>
  <c r="K31" i="3"/>
  <c r="L31" i="3" s="1"/>
  <c r="M31" i="3" s="1"/>
  <c r="I37" i="3"/>
  <c r="J8" i="3"/>
  <c r="K8" i="3"/>
  <c r="L8" i="3" s="1"/>
  <c r="M8" i="3" s="1"/>
  <c r="J4" i="3"/>
  <c r="K4" i="3"/>
  <c r="L4" i="3" s="1"/>
  <c r="M4" i="3" s="1"/>
  <c r="J20" i="3"/>
  <c r="K20" i="3"/>
  <c r="L20" i="3" s="1"/>
  <c r="M20" i="3" s="1"/>
  <c r="J30" i="3"/>
  <c r="K6" i="3"/>
  <c r="L6" i="3" s="1"/>
  <c r="M6" i="3" s="1"/>
  <c r="K19" i="3"/>
  <c r="L19" i="3" s="1"/>
  <c r="M19" i="3" s="1"/>
  <c r="J19" i="3"/>
  <c r="K22" i="3"/>
  <c r="L22" i="3" s="1"/>
  <c r="M22" i="3" s="1"/>
  <c r="J22" i="3"/>
  <c r="K16" i="3"/>
  <c r="L16" i="3" s="1"/>
  <c r="M16" i="3" s="1"/>
  <c r="K29" i="3"/>
  <c r="L29" i="3" s="1"/>
  <c r="M29" i="3" s="1"/>
  <c r="J29" i="3"/>
  <c r="K2" i="3"/>
  <c r="L2" i="3" s="1"/>
  <c r="M2" i="3" s="1"/>
  <c r="J6" i="3"/>
  <c r="K15" i="3"/>
  <c r="L15" i="3" s="1"/>
  <c r="M15" i="3" s="1"/>
  <c r="J15" i="3"/>
  <c r="J36" i="3"/>
  <c r="K3" i="3"/>
  <c r="L3" i="3" s="1"/>
  <c r="M3" i="3" s="1"/>
  <c r="J3" i="3"/>
  <c r="K18" i="3"/>
  <c r="L18" i="3" s="1"/>
  <c r="M18" i="3" s="1"/>
  <c r="K24" i="3"/>
  <c r="L24" i="3" s="1"/>
  <c r="M24" i="3" s="1"/>
  <c r="K12" i="3"/>
  <c r="L12" i="3" s="1"/>
  <c r="M12" i="3" s="1"/>
  <c r="J31" i="3"/>
  <c r="K33" i="3"/>
  <c r="L33" i="3" s="1"/>
  <c r="M33" i="3" s="1"/>
  <c r="J33" i="3"/>
  <c r="J2" i="3"/>
  <c r="K11" i="3"/>
  <c r="L11" i="3" s="1"/>
  <c r="M11" i="3" s="1"/>
  <c r="J11" i="3"/>
  <c r="K14" i="3"/>
  <c r="L14" i="3" s="1"/>
  <c r="M14" i="3" s="1"/>
  <c r="J18" i="3"/>
  <c r="J26" i="3"/>
  <c r="K23" i="3"/>
  <c r="L23" i="3" s="1"/>
  <c r="M23" i="3" s="1"/>
  <c r="J23" i="3"/>
  <c r="K5" i="3"/>
  <c r="L5" i="3" s="1"/>
  <c r="M5" i="3" s="1"/>
  <c r="K21" i="3"/>
  <c r="L21" i="3" s="1"/>
  <c r="M21" i="3" s="1"/>
  <c r="K7" i="3"/>
  <c r="L7" i="3" s="1"/>
  <c r="M7" i="3" s="1"/>
  <c r="J7" i="3"/>
  <c r="K10" i="3"/>
  <c r="L10" i="3" s="1"/>
  <c r="M10" i="3" s="1"/>
  <c r="J17" i="3"/>
  <c r="J32" i="3"/>
  <c r="K35" i="3"/>
  <c r="L35" i="3" s="1"/>
  <c r="M35" i="3" s="1"/>
  <c r="M131" i="2"/>
  <c r="K32" i="3" l="1"/>
  <c r="L32" i="3" s="1"/>
  <c r="M32" i="3" s="1"/>
  <c r="K30" i="3"/>
  <c r="L30" i="3" s="1"/>
  <c r="M30" i="3" s="1"/>
</calcChain>
</file>

<file path=xl/sharedStrings.xml><?xml version="1.0" encoding="utf-8"?>
<sst xmlns="http://schemas.openxmlformats.org/spreadsheetml/2006/main" count="1772" uniqueCount="653">
  <si>
    <t>SrNo</t>
  </si>
  <si>
    <t>Code</t>
  </si>
  <si>
    <t>Description</t>
  </si>
  <si>
    <t>Sample</t>
  </si>
  <si>
    <t>CPRT</t>
  </si>
  <si>
    <t>B2B</t>
  </si>
  <si>
    <t>B2C</t>
  </si>
  <si>
    <t>B2BXF</t>
  </si>
  <si>
    <t>B2CXF</t>
  </si>
  <si>
    <t>Category</t>
  </si>
  <si>
    <t>Contents</t>
  </si>
  <si>
    <t>FOODI</t>
  </si>
  <si>
    <t>FOOD INTOLERANCE PROFILE (215)</t>
  </si>
  <si>
    <t>SERUM</t>
  </si>
  <si>
    <t>CRL</t>
  </si>
  <si>
    <t>STROID</t>
  </si>
  <si>
    <t xml:space="preserve">11 STEROIDS + 3 VITAMINS </t>
  </si>
  <si>
    <t>NBS</t>
  </si>
  <si>
    <t>NEWBORN SCREENING PROFILE (26)</t>
  </si>
  <si>
    <t>DBS</t>
  </si>
  <si>
    <t>VBC</t>
  </si>
  <si>
    <t>VITAMIN B COMPLEX (8)</t>
  </si>
  <si>
    <t>VITB1, VITB2, VITB3, VITB5, VITB6, VITB7, VITB9, VITB12</t>
  </si>
  <si>
    <t>CVP</t>
  </si>
  <si>
    <t>AAP</t>
  </si>
  <si>
    <t>AMINO ACID PROFILE (35)</t>
  </si>
  <si>
    <t>FSV</t>
  </si>
  <si>
    <t>FAT SOLUBLE VITAMINS (6)</t>
  </si>
  <si>
    <t>E22</t>
  </si>
  <si>
    <t>NUTRITIONAL AND TOXIC ELEMENTS (22)</t>
  </si>
  <si>
    <t>EDTA</t>
  </si>
  <si>
    <t>VDP</t>
  </si>
  <si>
    <t>VITAMIN D PROFILE (3)</t>
  </si>
  <si>
    <t>Technology</t>
  </si>
  <si>
    <t xml:space="preserve">Analyzer </t>
  </si>
  <si>
    <t>B2C-B2B</t>
  </si>
  <si>
    <t>CRA</t>
  </si>
  <si>
    <t>CHC</t>
  </si>
  <si>
    <t>C.L.I.A</t>
  </si>
  <si>
    <t>Roche</t>
  </si>
  <si>
    <t>CA199</t>
  </si>
  <si>
    <t>PHOTOMETRY</t>
  </si>
  <si>
    <t>VITD3</t>
  </si>
  <si>
    <t>VITAMIN D3</t>
  </si>
  <si>
    <t>LCMS-MS</t>
  </si>
  <si>
    <t>Shimadzu</t>
  </si>
  <si>
    <t>VITB9</t>
  </si>
  <si>
    <t>VITAMIN B9/FOLIC ACID</t>
  </si>
  <si>
    <t>VITB6</t>
  </si>
  <si>
    <t>VITAMIN B6/PYRIDOXAL - 5 - PHOSPHATE</t>
  </si>
  <si>
    <t>VITB1</t>
  </si>
  <si>
    <t>VITAMIN B1/THIAMIN</t>
  </si>
  <si>
    <t>VITB7</t>
  </si>
  <si>
    <t>VITAMIN B7/BIOTIN</t>
  </si>
  <si>
    <t>VITB3</t>
  </si>
  <si>
    <t>VITAMIN B3/NICOTINIC ACID</t>
  </si>
  <si>
    <t>VITB2</t>
  </si>
  <si>
    <t>VITAMIN B2/RIBOFLAVIN</t>
  </si>
  <si>
    <t>VITB5</t>
  </si>
  <si>
    <t>VITAMIN B5/PANTOTHENIC</t>
  </si>
  <si>
    <t>VITA</t>
  </si>
  <si>
    <t>VITAMIN A</t>
  </si>
  <si>
    <t>VITK</t>
  </si>
  <si>
    <t>VITAMIN K</t>
  </si>
  <si>
    <t>VITE</t>
  </si>
  <si>
    <t>VITAMIN E</t>
  </si>
  <si>
    <t>AFP</t>
  </si>
  <si>
    <t>ALPHA FETO PROTEIN (AFP)</t>
  </si>
  <si>
    <t>Snibe</t>
  </si>
  <si>
    <t>TX_M</t>
  </si>
  <si>
    <t xml:space="preserve">Toxo IgM </t>
  </si>
  <si>
    <t>TX_G</t>
  </si>
  <si>
    <t xml:space="preserve">Toxo IgG </t>
  </si>
  <si>
    <t>CM_M</t>
  </si>
  <si>
    <t xml:space="preserve">CMV IgM </t>
  </si>
  <si>
    <t>CM_G</t>
  </si>
  <si>
    <t xml:space="preserve">CMV IgG </t>
  </si>
  <si>
    <t>HS2M</t>
  </si>
  <si>
    <t>HSV-2 IgM</t>
  </si>
  <si>
    <t>RB_G</t>
  </si>
  <si>
    <t xml:space="preserve">Rubella IgG </t>
  </si>
  <si>
    <t>HS1M</t>
  </si>
  <si>
    <t>HSV-1 IgM</t>
  </si>
  <si>
    <t>HS2G</t>
  </si>
  <si>
    <t xml:space="preserve">HSV-2 IgG  </t>
  </si>
  <si>
    <t>HS1G</t>
  </si>
  <si>
    <t xml:space="preserve">HSV-1 IgG  </t>
  </si>
  <si>
    <t>RB_M</t>
  </si>
  <si>
    <t xml:space="preserve">Rubella IgM </t>
  </si>
  <si>
    <t>FTES</t>
  </si>
  <si>
    <t>FREE-TESTOSTERONE</t>
  </si>
  <si>
    <t>CA 19-9</t>
  </si>
  <si>
    <t>E3</t>
  </si>
  <si>
    <t>Unconjugated Estriol (uE3)</t>
  </si>
  <si>
    <t>DXL800</t>
  </si>
  <si>
    <t>PRGE</t>
  </si>
  <si>
    <t xml:space="preserve">Progesterone </t>
  </si>
  <si>
    <t>PTH</t>
  </si>
  <si>
    <t>DHEA</t>
  </si>
  <si>
    <t>DHEA-S</t>
  </si>
  <si>
    <t>ATG</t>
  </si>
  <si>
    <t xml:space="preserve">Thyroglobulin Ab </t>
  </si>
  <si>
    <t xml:space="preserve">CA 15-3 </t>
  </si>
  <si>
    <t>INHIB</t>
  </si>
  <si>
    <t>INHIBIN A</t>
  </si>
  <si>
    <t>NS1</t>
  </si>
  <si>
    <t>Dengue Virus NS1 Antigen</t>
  </si>
  <si>
    <t>HC_G</t>
  </si>
  <si>
    <t xml:space="preserve">HSV-1/2 IgG </t>
  </si>
  <si>
    <t>TRAB</t>
  </si>
  <si>
    <t>TSH RECEPTOR ANTIBODY</t>
  </si>
  <si>
    <t>FPSA</t>
  </si>
  <si>
    <t>FREE PSA</t>
  </si>
  <si>
    <t>HBST</t>
  </si>
  <si>
    <t xml:space="preserve">Anti-HBs </t>
  </si>
  <si>
    <t>HC_M</t>
  </si>
  <si>
    <t xml:space="preserve">HSV-1/2 IgM </t>
  </si>
  <si>
    <t>TG</t>
  </si>
  <si>
    <t>Thyroglobulin</t>
  </si>
  <si>
    <t>TTGA</t>
  </si>
  <si>
    <t>TISSUE TRANSGLUTAMINASE - IGA</t>
  </si>
  <si>
    <t>EAG</t>
  </si>
  <si>
    <t>HBeAg</t>
  </si>
  <si>
    <t>AutoBio</t>
  </si>
  <si>
    <t>17OH</t>
  </si>
  <si>
    <t>17α-OH PROGESTERONE</t>
  </si>
  <si>
    <t>HAVM</t>
  </si>
  <si>
    <t xml:space="preserve">Anti-HAV IgM </t>
  </si>
  <si>
    <t>HSTNI</t>
  </si>
  <si>
    <t>hs Troponin I</t>
  </si>
  <si>
    <t>PCT</t>
  </si>
  <si>
    <t xml:space="preserve">PROCALCITONIN ( PCT) </t>
  </si>
  <si>
    <t>DN_M</t>
  </si>
  <si>
    <t>Anti Dengue Virus IgM</t>
  </si>
  <si>
    <t>CALCT</t>
  </si>
  <si>
    <t xml:space="preserve">CALCITONIN </t>
  </si>
  <si>
    <t>INFG1</t>
  </si>
  <si>
    <t>INSULIN-LIKE GROWTH FACTOR 1 (IGF-1)</t>
  </si>
  <si>
    <t>ACTH</t>
  </si>
  <si>
    <t>ADRENOCORTICOTROPIC HORMONE (ACTH)</t>
  </si>
  <si>
    <t>DNA</t>
  </si>
  <si>
    <t xml:space="preserve">Anti-dsDNA IgG </t>
  </si>
  <si>
    <t>HGH</t>
  </si>
  <si>
    <t>Human Growth Hormone</t>
  </si>
  <si>
    <t>ALDOS</t>
  </si>
  <si>
    <t>ALDOSTERONE</t>
  </si>
  <si>
    <t>HEVM</t>
  </si>
  <si>
    <t>Anti-HEV IgM</t>
  </si>
  <si>
    <t>HBCT</t>
  </si>
  <si>
    <t>Anti-Hepatitis B Core Antibody</t>
  </si>
  <si>
    <t>Diasorin</t>
  </si>
  <si>
    <t>HAVT</t>
  </si>
  <si>
    <t>Hepatitis A Virus Total Antibody</t>
  </si>
  <si>
    <t>HBCM</t>
  </si>
  <si>
    <t>Hepatitis B Core Antibody IgM</t>
  </si>
  <si>
    <t>HPYG</t>
  </si>
  <si>
    <t xml:space="preserve">H.pylori IgG </t>
  </si>
  <si>
    <t>HPYM</t>
  </si>
  <si>
    <t xml:space="preserve">H.pylori IgM </t>
  </si>
  <si>
    <t>DN_G</t>
  </si>
  <si>
    <t>Anti Dengue Virus IgG</t>
  </si>
  <si>
    <t>AHBE</t>
  </si>
  <si>
    <t xml:space="preserve">Anti-HBe </t>
  </si>
  <si>
    <t>DREN</t>
  </si>
  <si>
    <t>DIRECT RENIN</t>
  </si>
  <si>
    <t>ITRL6</t>
  </si>
  <si>
    <t>INTERLEUKIN-6 (IL-6 )</t>
  </si>
  <si>
    <t>AVB12</t>
  </si>
  <si>
    <t xml:space="preserve">Active B12 </t>
  </si>
  <si>
    <t>ANDR</t>
  </si>
  <si>
    <t>ANDROSTENEDIONE</t>
  </si>
  <si>
    <t>EPO</t>
  </si>
  <si>
    <t>ERYTHROPOIETIN (EPO)</t>
  </si>
  <si>
    <t>VARIG</t>
  </si>
  <si>
    <t xml:space="preserve">Varicella IgG </t>
  </si>
  <si>
    <t>HPYA</t>
  </si>
  <si>
    <t xml:space="preserve">H.pylori IgA </t>
  </si>
  <si>
    <t>HE4</t>
  </si>
  <si>
    <t>HUMAN EPIDIDYMIS PROTEIN 4 (HE4 )</t>
  </si>
  <si>
    <t>GAST</t>
  </si>
  <si>
    <t xml:space="preserve">GASTRIN -17 </t>
  </si>
  <si>
    <t>MEAIG</t>
  </si>
  <si>
    <t xml:space="preserve">Measles IgG </t>
  </si>
  <si>
    <t>VARIM</t>
  </si>
  <si>
    <t xml:space="preserve">Varicella IgM </t>
  </si>
  <si>
    <t>SYPHILIS</t>
  </si>
  <si>
    <t>SCL70</t>
  </si>
  <si>
    <t>Anti-Scl-70 IgG</t>
  </si>
  <si>
    <t>MUMIG</t>
  </si>
  <si>
    <t xml:space="preserve">Mumps IgG </t>
  </si>
  <si>
    <t>MYOG</t>
  </si>
  <si>
    <t xml:space="preserve">MYOGLOBIN </t>
  </si>
  <si>
    <t>MEAIM</t>
  </si>
  <si>
    <t xml:space="preserve">Measles IgM </t>
  </si>
  <si>
    <t>DIGOX</t>
  </si>
  <si>
    <t>Digoxin</t>
  </si>
  <si>
    <t>MUMIM</t>
  </si>
  <si>
    <t xml:space="preserve">Mumps IgM </t>
  </si>
  <si>
    <t>TNFA</t>
  </si>
  <si>
    <t>TUMOR NECROSIS FACTOR-ALPHA (TNF-α )</t>
  </si>
  <si>
    <t>IGRA</t>
  </si>
  <si>
    <t>QUANTIFERON TB  (IGRA)</t>
  </si>
  <si>
    <t>CYCLO</t>
  </si>
  <si>
    <t>CYCLOSPORINE</t>
  </si>
  <si>
    <t>HCVD</t>
  </si>
  <si>
    <t>HEPATITIS C VIRUS ANTIGEN/ANTIBODY</t>
  </si>
  <si>
    <t>PIVKA</t>
  </si>
  <si>
    <t xml:space="preserve">PIVKA-Ⅱ </t>
  </si>
  <si>
    <t>ICA</t>
  </si>
  <si>
    <t>ISLET CELL AUTOANTIBODY (ICA)</t>
  </si>
  <si>
    <t>PRINSU</t>
  </si>
  <si>
    <t>PROINSULIN</t>
  </si>
  <si>
    <t>AIA2</t>
  </si>
  <si>
    <t>ANTI-ISLET ANTIGEN-2 AUTOANTIBODY (Anti-IA2)</t>
  </si>
  <si>
    <t>BNP</t>
  </si>
  <si>
    <t xml:space="preserve">proBNP G2  </t>
  </si>
  <si>
    <t>ANA</t>
  </si>
  <si>
    <t>ANTI NUCLEAR ANTIBODY</t>
  </si>
  <si>
    <t>TACRO</t>
  </si>
  <si>
    <t>TACROLIMUS</t>
  </si>
  <si>
    <t>IAA</t>
  </si>
  <si>
    <t>INSULIN AUTOANTIBODY (IAA)</t>
  </si>
  <si>
    <t>AGAD</t>
  </si>
  <si>
    <t>ANTI-GAD</t>
  </si>
  <si>
    <t>P1NP</t>
  </si>
  <si>
    <t xml:space="preserve">Total P1NP </t>
  </si>
  <si>
    <t>BCTX</t>
  </si>
  <si>
    <t>BETA-CROSSLAPS ( β-CTx )</t>
  </si>
  <si>
    <t>NSE</t>
  </si>
  <si>
    <t>NEURON-SPECIFIC ENOLASE (NSE)</t>
  </si>
  <si>
    <t>COVG</t>
  </si>
  <si>
    <t xml:space="preserve">Anti-SARS-CoV-2 </t>
  </si>
  <si>
    <t>OSTEO</t>
  </si>
  <si>
    <t>OSTEOCALCIN</t>
  </si>
  <si>
    <t>OSTAS</t>
  </si>
  <si>
    <t xml:space="preserve">OSTASE </t>
  </si>
  <si>
    <t>CYFR</t>
  </si>
  <si>
    <t xml:space="preserve">Cyfra 21-1 </t>
  </si>
  <si>
    <t>CA72-4</t>
  </si>
  <si>
    <t>CA 72-4</t>
  </si>
  <si>
    <t>AHBD</t>
  </si>
  <si>
    <t>α-Hydroxybutyrate dehydrogenase (α-HB</t>
  </si>
  <si>
    <t>AU5800</t>
  </si>
  <si>
    <t>CPK</t>
  </si>
  <si>
    <t xml:space="preserve">TOTAL CPK </t>
  </si>
  <si>
    <t>EAIGA</t>
  </si>
  <si>
    <t xml:space="preserve">EBV EA IgA </t>
  </si>
  <si>
    <t>EAIGG</t>
  </si>
  <si>
    <t xml:space="preserve">EBV EA IgG </t>
  </si>
  <si>
    <t>NAIGA</t>
  </si>
  <si>
    <t xml:space="preserve">EBV NA IgA </t>
  </si>
  <si>
    <t>NAIGG</t>
  </si>
  <si>
    <t xml:space="preserve">EBV NA IgG </t>
  </si>
  <si>
    <t>VCAA</t>
  </si>
  <si>
    <t xml:space="preserve">EBV VCA IgA </t>
  </si>
  <si>
    <t>VCAG</t>
  </si>
  <si>
    <t xml:space="preserve">EBV VCA IgG </t>
  </si>
  <si>
    <t>VCAM</t>
  </si>
  <si>
    <t xml:space="preserve">EBV VCA IgM </t>
  </si>
  <si>
    <t>BICO</t>
  </si>
  <si>
    <t>BICARBONATE (CO₂)</t>
  </si>
  <si>
    <t>PYRU</t>
  </si>
  <si>
    <t>PYRUVATE</t>
  </si>
  <si>
    <t>ADA</t>
  </si>
  <si>
    <t>ADENOSINE DEAMINASE (ADA)</t>
  </si>
  <si>
    <t>CHES</t>
  </si>
  <si>
    <t>CHOLINESTERASE (CHE)</t>
  </si>
  <si>
    <t>TBAC</t>
  </si>
  <si>
    <t>TOTAL BILE ACID</t>
  </si>
  <si>
    <t>CKMB</t>
  </si>
  <si>
    <t>CREATINE KINASE–MYOCARDIAL BAND (CK-MB)</t>
  </si>
  <si>
    <t>LACL</t>
  </si>
  <si>
    <t>LACTATE</t>
  </si>
  <si>
    <t>B2MG</t>
  </si>
  <si>
    <t xml:space="preserve">β2-MICROGLOBULIN </t>
  </si>
  <si>
    <t>MALAG</t>
  </si>
  <si>
    <t>Malaria Ag CLIA</t>
  </si>
  <si>
    <t>AMMU</t>
  </si>
  <si>
    <t xml:space="preserve">AMMONIA </t>
  </si>
  <si>
    <t>SALI</t>
  </si>
  <si>
    <t>SALICYLIC ACID</t>
  </si>
  <si>
    <t>BTEAG</t>
  </si>
  <si>
    <t>SILVER</t>
  </si>
  <si>
    <t>ICP-MS</t>
  </si>
  <si>
    <t xml:space="preserve">Agilent </t>
  </si>
  <si>
    <t>BTEAL</t>
  </si>
  <si>
    <t>ALUMINIUM</t>
  </si>
  <si>
    <t>BTEAS</t>
  </si>
  <si>
    <t>ARSENIC</t>
  </si>
  <si>
    <t>BTEBA</t>
  </si>
  <si>
    <t>BARIUM</t>
  </si>
  <si>
    <t>BTEBE</t>
  </si>
  <si>
    <t>BERYLLIUM</t>
  </si>
  <si>
    <t>BTEBI</t>
  </si>
  <si>
    <t>BISMUTH</t>
  </si>
  <si>
    <t>BTECD</t>
  </si>
  <si>
    <t>CADMIUM</t>
  </si>
  <si>
    <t>BTECO</t>
  </si>
  <si>
    <t>COBALT</t>
  </si>
  <si>
    <t>BTECR</t>
  </si>
  <si>
    <t>CHROMIUM</t>
  </si>
  <si>
    <t>BTECS</t>
  </si>
  <si>
    <t>CAESIUM</t>
  </si>
  <si>
    <t>BTEHG</t>
  </si>
  <si>
    <t>MERCURY</t>
  </si>
  <si>
    <t>BTEMN</t>
  </si>
  <si>
    <t>MANGANESE</t>
  </si>
  <si>
    <t>BTEMO</t>
  </si>
  <si>
    <t>MOLYBDENUM</t>
  </si>
  <si>
    <t>BTENI</t>
  </si>
  <si>
    <t>NICKEL</t>
  </si>
  <si>
    <t>BTEPB</t>
  </si>
  <si>
    <t>LEAD</t>
  </si>
  <si>
    <t>BTESB</t>
  </si>
  <si>
    <t>ANTIMONY</t>
  </si>
  <si>
    <t>BTESE</t>
  </si>
  <si>
    <t>SELENIUM</t>
  </si>
  <si>
    <t>BTESN</t>
  </si>
  <si>
    <t>TIN</t>
  </si>
  <si>
    <t>BTESR</t>
  </si>
  <si>
    <t>STRONTIUM</t>
  </si>
  <si>
    <t>BTETL</t>
  </si>
  <si>
    <t>THALLIUM</t>
  </si>
  <si>
    <t>ETHN</t>
  </si>
  <si>
    <t>ETHANOL</t>
  </si>
  <si>
    <t>BTEU</t>
  </si>
  <si>
    <t>URANIUM</t>
  </si>
  <si>
    <t>NAG</t>
  </si>
  <si>
    <t>N-Acetyl-β-D-glucosaminidase (NAG)</t>
  </si>
  <si>
    <t>ACE</t>
  </si>
  <si>
    <t>ANGIOTENSIN-CONVERTING ENZYME (ACE)</t>
  </si>
  <si>
    <t>PALB</t>
  </si>
  <si>
    <t>PREALBUMIN</t>
  </si>
  <si>
    <t>BTEV</t>
  </si>
  <si>
    <t>VANADIUM</t>
  </si>
  <si>
    <t>SAA</t>
  </si>
  <si>
    <t>SERUM AMYLOID A PROTEIN (SAA)</t>
  </si>
  <si>
    <t>DDIM</t>
  </si>
  <si>
    <t>D DIMER</t>
  </si>
  <si>
    <t>Profile</t>
  </si>
  <si>
    <t>B2B-R</t>
  </si>
  <si>
    <t>B2C-R</t>
  </si>
  <si>
    <r>
      <t xml:space="preserve">ALKP, BILT, BILD, GGT, SGOT, SGPT, PROT, SALB, BUN, CALC, URIC, SCRE, UREA, IRON, TIBC, </t>
    </r>
    <r>
      <rPr>
        <b/>
        <sz val="12"/>
        <color theme="1"/>
        <rFont val="Calibri"/>
        <family val="2"/>
      </rPr>
      <t>TSH</t>
    </r>
    <r>
      <rPr>
        <sz val="12"/>
        <color theme="1"/>
        <rFont val="Calibri"/>
        <family val="2"/>
      </rPr>
      <t>, HBA, HEMO</t>
    </r>
  </si>
  <si>
    <t>STANDARD BIO PROFILE, APOA, APOB, LPA, HSCRP, HOMO, CPK</t>
  </si>
  <si>
    <t>BASIC ANEMIA PROFILE</t>
  </si>
  <si>
    <t>STANDARD ANEMIA  PROFILE</t>
  </si>
  <si>
    <t>ADVANCED ANEMIA PROFILE</t>
  </si>
  <si>
    <t>BASIC ARTHRITIS  PROFILE</t>
  </si>
  <si>
    <t>STANDARD ARTHRITIS PROFILE</t>
  </si>
  <si>
    <t>ADVANCED ARTHRITIS PROFILE</t>
  </si>
  <si>
    <t>BASIC OBESITY PROFILE</t>
  </si>
  <si>
    <t>STANDARD OBESITY PROFILE</t>
  </si>
  <si>
    <t>ADVANCED OBESITY PROFILE</t>
  </si>
  <si>
    <t>BASIC PREGNANCY PROFILE</t>
  </si>
  <si>
    <t>STANDARD PREGNANCY PROFILE</t>
  </si>
  <si>
    <t>ADVANCED PREGNANCY PROFILE</t>
  </si>
  <si>
    <t>BASIC HAIR HEALTH PROFILE</t>
  </si>
  <si>
    <t>STANDARD HAIR HEALTH PROFILE</t>
  </si>
  <si>
    <t>ADVANCED HAIR HEALTH PROFILE</t>
  </si>
  <si>
    <t>BASIC BONE &amp; MUSCLE PROFILE</t>
  </si>
  <si>
    <t>STANDARD BONE &amp; MUSCLE PROFILE</t>
  </si>
  <si>
    <t>ADVANCED BONE &amp; MUSCLE PROFILE</t>
  </si>
  <si>
    <t>BASIC PCOD PROFILE</t>
  </si>
  <si>
    <t>STANDARD PCOD PROFILE</t>
  </si>
  <si>
    <t>ADVANCED PCOD PROFILE</t>
  </si>
  <si>
    <t>BASIC INFERTILITY PROFILE</t>
  </si>
  <si>
    <t>STANDARD INFERTILITY PROFILE</t>
  </si>
  <si>
    <t>ADVANCED INFERTILITY PROFILE</t>
  </si>
  <si>
    <t>AVM THYROID PROFILE (T6)</t>
  </si>
  <si>
    <t xml:space="preserve">T3, T4, TSH, FT3, FT4, AMA </t>
  </si>
  <si>
    <t>CANCER MARKER (MALE) PROFILE</t>
  </si>
  <si>
    <t>AFP, BHCG, CA125, CA199, CEA, FPSA, PSA, HBA, HEMO</t>
  </si>
  <si>
    <t>CANCER MARKER (FEMALE) PROFILE</t>
  </si>
  <si>
    <t>AFP, BHCG, CA125, CA153, CA199, CEA, HBA, HEMO</t>
  </si>
  <si>
    <t>LH, FSH, PRL, AMH, TSH, HBA, HEMO</t>
  </si>
  <si>
    <t>CA153</t>
  </si>
  <si>
    <t>Fasting Status</t>
  </si>
  <si>
    <t>Non-Fasting</t>
  </si>
  <si>
    <t>SEBL</t>
  </si>
  <si>
    <t>QM</t>
  </si>
  <si>
    <t>TM</t>
  </si>
  <si>
    <t>DM</t>
  </si>
  <si>
    <t>ERP</t>
  </si>
  <si>
    <t>CMF</t>
  </si>
  <si>
    <t>CMM</t>
  </si>
  <si>
    <t>ATP</t>
  </si>
  <si>
    <t>35 AMINO ACIDS</t>
  </si>
  <si>
    <t xml:space="preserve">14 VITAMINS </t>
  </si>
  <si>
    <t>STEROID AND VITAMIN PROFILE (11+3)</t>
  </si>
  <si>
    <t>COMPLETE VITAMINS PROFILE (8+6)</t>
  </si>
  <si>
    <t>26 LCMS PARAMETERS</t>
  </si>
  <si>
    <t>215 TARGETS</t>
  </si>
  <si>
    <t>EGG RESERVE PROFILE (ERP)</t>
  </si>
  <si>
    <t>DOUBLE MARKER PROFILE (8 to 13 Weeks)</t>
  </si>
  <si>
    <t>TRIPLE MARKER  PROFILE (14 to 22 Weeks)</t>
  </si>
  <si>
    <t>QUADRUPLE MARKER PROFILE (14 to 22 Weeks)</t>
  </si>
  <si>
    <t xml:space="preserve">FBHCG, PAPPA  </t>
  </si>
  <si>
    <t xml:space="preserve">BHCG, AFP, E3 </t>
  </si>
  <si>
    <t>ALL 22 ELEMENTS (9 TOXIC and 13 NUTRITIONAL)</t>
  </si>
  <si>
    <t>VITAMIN D2, D3 AND TOTAL</t>
  </si>
  <si>
    <t>VIT A, VIT D2, VIT D3, VIT TOTAL, VIT E &amp; VIT K</t>
  </si>
  <si>
    <t>BHCG, AFP, E3, INHIBIN A</t>
  </si>
  <si>
    <t>BASIC METABOLIC PROFILE (BMP)</t>
  </si>
  <si>
    <t>BMP, FERR, FOLI, VITB, VITDC</t>
  </si>
  <si>
    <t>BMP, PHOS, RFAC, VITB, VITDC, ANA, ACCP</t>
  </si>
  <si>
    <t>STANDARD METABOLIC PROFILE (SMP)</t>
  </si>
  <si>
    <t>ADVANCED METABOLIC PROFILE (AMP)</t>
  </si>
  <si>
    <t>SMP, FERR, CVP</t>
  </si>
  <si>
    <t>AMP, FERR, CVP, E22</t>
  </si>
  <si>
    <t>SMP, RFAC, ANA, ACCP, CVP</t>
  </si>
  <si>
    <t>AMP, RFAC, ANA, ACCP, CVP, E22</t>
  </si>
  <si>
    <t>BMP, VITB, VITDC, INSFA, TESTO, CORT, DHEA, APOA, APOB, LPA, HSCRP</t>
  </si>
  <si>
    <t>SMP, INSFA, TESTO, CORT, DHEA, APOA, APOB, LPA, HSCRP, CVP</t>
  </si>
  <si>
    <t>AMP, INSFA, TESTO, CORT, DHEA, CVP, E22</t>
  </si>
  <si>
    <t>BMP, SEZN, SECU, MG, VITB, VITDC, FERR, FOLI</t>
  </si>
  <si>
    <t>BMP, SEZN, SECU, MG, PHOS, RFAC, VITB, VITDC, PTH</t>
  </si>
  <si>
    <t>SMP, RFAC, PTH, CVP</t>
  </si>
  <si>
    <t>AMP, RFAC, PTH, CVP, E22</t>
  </si>
  <si>
    <t>BMP, LH, FSH, PRL, TESTO, E2, FTES, DHEA, SHBG, AMH, INSFA</t>
  </si>
  <si>
    <t>SMP, LH, FSH, PRL, TESTO, E2, FTES, DHEA, SHBG, AMH, INSFA, CVP</t>
  </si>
  <si>
    <t>AMP, LH, FSH, PRL, TESTO, E2, FTES, DHEA, SHBG, AMH, INSFA, CVP, E22</t>
  </si>
  <si>
    <t xml:space="preserve">BMP, VITB, VITDC, FOLI, LH, FSH, PRL, TESTO, E2, PRGE, DHEA, ANDR, SHBG, ALDOS, 17OH, CORT, FTES, AMH </t>
  </si>
  <si>
    <t>SMP, LH, FSH, PRL, TESTO, E2, PRGE, DHEA, ANDR, SHBG, ALDOS, 17OH, CORT, FTES, AMH, CVP</t>
  </si>
  <si>
    <t>AMP, LH, FSH, PRL, TESTO, E2, PRGE, DHEA, ANDR, SHBG, ALDOS, 17OH, CORT, FTES, AMH, CVP, E22</t>
  </si>
  <si>
    <t>BASIC PREGNANCY WITH DM</t>
  </si>
  <si>
    <t>STANDARD PREGNANCY WITH DM</t>
  </si>
  <si>
    <t>ADVANCED PREGNANCY WITH DM</t>
  </si>
  <si>
    <t>BASIC PREGNANCY WITH TM</t>
  </si>
  <si>
    <t>STANDARD PREGNANCY WITH TM</t>
  </si>
  <si>
    <t>ADVANCED PREGNANCY WITH TM</t>
  </si>
  <si>
    <t>BASIC PREGNANCY WITH QM</t>
  </si>
  <si>
    <t>STANDARD PREGNANCY WITH QM</t>
  </si>
  <si>
    <t>ADVANCED PREGNANCY WITH QM</t>
  </si>
  <si>
    <t>BMP, VITB, VITDC, FERR, FOLI, SAG, AHCV, HIV</t>
  </si>
  <si>
    <t>SMP, FERR, SAG, AHCV, HIV, CVP</t>
  </si>
  <si>
    <t>AMP, FERR, SAG, AHCV, HIV, CVP, E22</t>
  </si>
  <si>
    <t>BMP, VITB, VITDC, FERR, FOLI, SAG, AHCV, HIV, FBHCG, PAPPA</t>
  </si>
  <si>
    <t>SMP, FERR, SAG, AHCV, HIV, FBHCG, PAPPA, CVP</t>
  </si>
  <si>
    <t>AMP, FERR, SAG, AHCV, HIV, FBHCG, PAPPA, CVP, E22</t>
  </si>
  <si>
    <t>BMP, VITB, VITDC, FERR, FOLI, SAG, AHCV, HIV, BHCG, AFP, E3,</t>
  </si>
  <si>
    <t>SMP, FERR, SAG, AHCV, HIV, BHCG, AFP, E3, CVP</t>
  </si>
  <si>
    <t>AMP, FERR, SAG, AHCV, HIV, BHCG, AFP, E3, CVP, E22</t>
  </si>
  <si>
    <t>BMP, VITB, VITDC, FERR, FOLI, SAG, AHCV, HIV, BHCG, AFP, E3, INHIB,</t>
  </si>
  <si>
    <t xml:space="preserve">SMP, FERR, SAG, AHCV, HIV, BHCG, AFP, E3, INHIB, CVP, </t>
  </si>
  <si>
    <t>AMP, FERR, SAG, AHCV, HIV, BHCG, AFP, E3, INHIB, CVP, E22</t>
  </si>
  <si>
    <t>BASIC DIABETIC PROFILE</t>
  </si>
  <si>
    <t>STANDARD DIABTIC PROFILE</t>
  </si>
  <si>
    <t>ADVANCED DIABETIC PROFILE</t>
  </si>
  <si>
    <t>BMP, LIPID, UALB, CUA, FBS, VITDC, VITB, FERR</t>
  </si>
  <si>
    <t>SMP, LIPID, UALB, CUA, FBS, FERR, HOMO, CVP</t>
  </si>
  <si>
    <t>AMP, LIPID, UALB, CUA, FBS, FERR, HOMO, INSFA, CPEP, CVP, HSTNI, E22</t>
  </si>
  <si>
    <t>UALB</t>
  </si>
  <si>
    <t>URINARY MICROALBUMIN</t>
  </si>
  <si>
    <t>URINE</t>
  </si>
  <si>
    <r>
      <t xml:space="preserve">BMP, SOD, POT, CHL, </t>
    </r>
    <r>
      <rPr>
        <sz val="12"/>
        <color rgb="FFFF0000"/>
        <rFont val="Calibri"/>
        <family val="2"/>
      </rPr>
      <t>AMYL, LASE</t>
    </r>
    <r>
      <rPr>
        <sz val="12"/>
        <color rgb="FF000000"/>
        <rFont val="Calibri"/>
        <family val="2"/>
      </rPr>
      <t xml:space="preserve">, SEZN, SECU, MG, PHOS, LDH, BKETO, FRUCT, T3, T4, FT3, FT4, AMA  </t>
    </r>
  </si>
  <si>
    <t xml:space="preserve"> </t>
  </si>
  <si>
    <t>UTSH</t>
  </si>
  <si>
    <t>THYROID-STIMULATING HORMONE</t>
  </si>
  <si>
    <t>AMH</t>
  </si>
  <si>
    <t>ANTI-MÜLLERIAN HORMONE (AMH)</t>
  </si>
  <si>
    <t>CUA</t>
  </si>
  <si>
    <t>COMPLETE URINE ANALYSIS</t>
  </si>
  <si>
    <t>MICROSCOPY</t>
  </si>
  <si>
    <t>TT3</t>
  </si>
  <si>
    <t>TOTAL T3</t>
  </si>
  <si>
    <t>TT4</t>
  </si>
  <si>
    <t>TOTAL T4</t>
  </si>
  <si>
    <t>ACCP</t>
  </si>
  <si>
    <t>ANTI-CYCLIC CITRULLINATED PEPTIDE</t>
  </si>
  <si>
    <t>TROP</t>
  </si>
  <si>
    <t>TROPONIN</t>
  </si>
  <si>
    <t>VITDC</t>
  </si>
  <si>
    <t>25-OH VITAMIN D TOTAL</t>
  </si>
  <si>
    <t>AMA</t>
  </si>
  <si>
    <t>ANTI MICROSOMAL ANTIBODY (AMA)</t>
  </si>
  <si>
    <t>SHBG</t>
  </si>
  <si>
    <t>SEX HORMONE-BINDING GLOBULIN (SHBG)</t>
  </si>
  <si>
    <t>AHCV</t>
  </si>
  <si>
    <t>ANTI HEPATITIS C VIRUS TOTAL</t>
  </si>
  <si>
    <t>FOLI</t>
  </si>
  <si>
    <t>FOLIC ACID</t>
  </si>
  <si>
    <t>TPSA</t>
  </si>
  <si>
    <t>TOTAL PSA</t>
  </si>
  <si>
    <t>DHEAS</t>
  </si>
  <si>
    <t>DEHYDROEPIANDROSTERONE SULFATE (DHEA-S)</t>
  </si>
  <si>
    <t>FBHCG</t>
  </si>
  <si>
    <t>FREE β-HCG</t>
  </si>
  <si>
    <t>PAPPA</t>
  </si>
  <si>
    <t>PAPP-A</t>
  </si>
  <si>
    <t>VITB</t>
  </si>
  <si>
    <t>VITAMIN B12</t>
  </si>
  <si>
    <t>A1c</t>
  </si>
  <si>
    <t>HbA1c</t>
  </si>
  <si>
    <t>H.P.L.C</t>
  </si>
  <si>
    <t>CA19.9</t>
  </si>
  <si>
    <t>CPEP</t>
  </si>
  <si>
    <t>C-PEPTIDE</t>
  </si>
  <si>
    <t>CHOL</t>
  </si>
  <si>
    <t>TOTAL CHOLESTEROL</t>
  </si>
  <si>
    <t>FERR</t>
  </si>
  <si>
    <t>FERRITIN</t>
  </si>
  <si>
    <t>CORT</t>
  </si>
  <si>
    <t>CORTISOL</t>
  </si>
  <si>
    <t>FBS</t>
  </si>
  <si>
    <t>FASTING BLOOD SUGAR</t>
  </si>
  <si>
    <t>FLUORIDE</t>
  </si>
  <si>
    <t>TIGE</t>
  </si>
  <si>
    <t>IMMUNOGLOBULIN E</t>
  </si>
  <si>
    <t>CA125</t>
  </si>
  <si>
    <t>CEA</t>
  </si>
  <si>
    <t>CARCINOEMBRYONIC ANTIGEN</t>
  </si>
  <si>
    <t>INSFA</t>
  </si>
  <si>
    <t>INSULIN - FASTING</t>
  </si>
  <si>
    <t>PPBS</t>
  </si>
  <si>
    <t>POSTPRANDIAL BLOOD SUGAR</t>
  </si>
  <si>
    <t>RBS</t>
  </si>
  <si>
    <t>RANDOM BLOOD SUGAR</t>
  </si>
  <si>
    <t>TRIG</t>
  </si>
  <si>
    <t>TRIGLYCERIDES</t>
  </si>
  <si>
    <t>FT3</t>
  </si>
  <si>
    <t>FREE T3</t>
  </si>
  <si>
    <t>FT4</t>
  </si>
  <si>
    <t>FREE T4</t>
  </si>
  <si>
    <t>ALKP</t>
  </si>
  <si>
    <t>ALKALINE PHOSPHATASE</t>
  </si>
  <si>
    <t>CBC</t>
  </si>
  <si>
    <t>HEMOGRAM - 6 PART (DIFF)</t>
  </si>
  <si>
    <t>HEMATOLOGY</t>
  </si>
  <si>
    <t>TESTO</t>
  </si>
  <si>
    <t>TESTOSTERONE</t>
  </si>
  <si>
    <t>BILD</t>
  </si>
  <si>
    <t>BILIRUBIN - DIRECT</t>
  </si>
  <si>
    <t>BILT</t>
  </si>
  <si>
    <t>BILIRUBIN - TOTAL</t>
  </si>
  <si>
    <t>LDH</t>
  </si>
  <si>
    <t>LACTATE DEHYDROGENASE</t>
  </si>
  <si>
    <t>MG</t>
  </si>
  <si>
    <t>MAGNESIUM</t>
  </si>
  <si>
    <t>PHOS</t>
  </si>
  <si>
    <t>PHOSPHOROUS</t>
  </si>
  <si>
    <t>PROT</t>
  </si>
  <si>
    <t>PROTEIN - TOTAL</t>
  </si>
  <si>
    <t>SALB</t>
  </si>
  <si>
    <t>ALBUMIN - SERUM</t>
  </si>
  <si>
    <t>SGOT</t>
  </si>
  <si>
    <t>ASPARTATE AMINOTRANSFERASE (SGOT)</t>
  </si>
  <si>
    <t>SGPT</t>
  </si>
  <si>
    <t>ALANINE TRANSAMINASE (SGPT)</t>
  </si>
  <si>
    <t>GGT</t>
  </si>
  <si>
    <t>GAMMA GLUTAMYL TRANSFERASE (GGT)</t>
  </si>
  <si>
    <t>BUN</t>
  </si>
  <si>
    <t>BLOOD UREA NITROGEN (BUN)</t>
  </si>
  <si>
    <t>CALC</t>
  </si>
  <si>
    <t>CALCIUM</t>
  </si>
  <si>
    <t>SCRE</t>
  </si>
  <si>
    <t>SERUM CREATININE</t>
  </si>
  <si>
    <t>HIV</t>
  </si>
  <si>
    <t>HIV AB/AG COMBO</t>
  </si>
  <si>
    <t>UREA</t>
  </si>
  <si>
    <t>BLOOD UREA</t>
  </si>
  <si>
    <t>URIC</t>
  </si>
  <si>
    <t>URIC ACID</t>
  </si>
  <si>
    <t>HCHO</t>
  </si>
  <si>
    <t>HDL CHOLESTEROL - DIRECT</t>
  </si>
  <si>
    <t>IRON</t>
  </si>
  <si>
    <t>LDL</t>
  </si>
  <si>
    <t>LDL CHOLESTEROL - DIRECT</t>
  </si>
  <si>
    <t>CHL</t>
  </si>
  <si>
    <t>CHLORIDE</t>
  </si>
  <si>
    <t>I.S.E</t>
  </si>
  <si>
    <t>POT</t>
  </si>
  <si>
    <t>POTASSIUM</t>
  </si>
  <si>
    <t>SOD</t>
  </si>
  <si>
    <t>SODIUM</t>
  </si>
  <si>
    <t>CRP</t>
  </si>
  <si>
    <t>C-REACTIVE PROTEIN (CRP)</t>
  </si>
  <si>
    <t>AMYL</t>
  </si>
  <si>
    <t>AMYLASE</t>
  </si>
  <si>
    <t>E2</t>
  </si>
  <si>
    <t>ESTRADIOL</t>
  </si>
  <si>
    <t>BHCG</t>
  </si>
  <si>
    <t>TOTAL ΒHCG</t>
  </si>
  <si>
    <t>FSH</t>
  </si>
  <si>
    <t>FOLLICLE-STIMULATING HORMONE</t>
  </si>
  <si>
    <t>LH</t>
  </si>
  <si>
    <t>LUTEINIZING HORMONE</t>
  </si>
  <si>
    <t>PRL</t>
  </si>
  <si>
    <t>PROLACTIN</t>
  </si>
  <si>
    <t>SAG</t>
  </si>
  <si>
    <t>HEPATITIS B SURFACE ANTIGEN (HBSAG)</t>
  </si>
  <si>
    <t>LPA</t>
  </si>
  <si>
    <t>LIPOPROTEIN (A)</t>
  </si>
  <si>
    <t>TIBC</t>
  </si>
  <si>
    <t>TOTAL IRON BINDING CAPACITY (TIBC)</t>
  </si>
  <si>
    <t>SEZN</t>
  </si>
  <si>
    <t>SERUM ZINC</t>
  </si>
  <si>
    <t>APOB</t>
  </si>
  <si>
    <t>APOLIPOPROTEIN - B</t>
  </si>
  <si>
    <t>APOA</t>
  </si>
  <si>
    <t>APOLIPOPROTEIN - A1</t>
  </si>
  <si>
    <t>SECU</t>
  </si>
  <si>
    <t>SERUM COPPER</t>
  </si>
  <si>
    <t>HSCPRP</t>
  </si>
  <si>
    <t>HIGH-SENSITIVITY C-REACTIVE PROTEIN</t>
  </si>
  <si>
    <t>FRUCT</t>
  </si>
  <si>
    <t>FRUCTOSAMINE</t>
  </si>
  <si>
    <t>LASE</t>
  </si>
  <si>
    <t>LIPASE</t>
  </si>
  <si>
    <t>RFAC</t>
  </si>
  <si>
    <t>RHEUMATOID FACTOR (RF)</t>
  </si>
  <si>
    <t>BKETO</t>
  </si>
  <si>
    <t>BLOOD KETONE</t>
  </si>
  <si>
    <t>HOMO</t>
  </si>
  <si>
    <t>HOMOCYSTEINE</t>
  </si>
  <si>
    <t>Dirui</t>
  </si>
  <si>
    <t>Biorad</t>
  </si>
  <si>
    <t>Beckman</t>
  </si>
  <si>
    <t>Sysmex</t>
  </si>
  <si>
    <t>DiaSys</t>
  </si>
  <si>
    <t>COIL</t>
  </si>
  <si>
    <t>S.No</t>
  </si>
  <si>
    <t xml:space="preserve">Contents </t>
  </si>
  <si>
    <t>AVM 1 Profile</t>
  </si>
  <si>
    <t>TSH + Lipid + LFT + KFT + IDP +  MG + PHOS</t>
  </si>
  <si>
    <t>AVM 2 Profile</t>
  </si>
  <si>
    <t>AVM 1 Profile + AMYL + LASE + HBA + CBC</t>
  </si>
  <si>
    <t>AVM 3 Profile</t>
  </si>
  <si>
    <t>AVM 2 Profile + VB12 + VITDT + FERR + SECU + SEZN + CRP</t>
  </si>
  <si>
    <t>AVM 4 Profile</t>
  </si>
  <si>
    <t>AVM 3 Profile  + APOA + APOB + LPA + HSCRP</t>
  </si>
  <si>
    <t>AVM 5 Profile</t>
  </si>
  <si>
    <t>AVM 4 Profile + HOMO + BKETO + FRUCT + RFAC + FOLI</t>
  </si>
  <si>
    <t>Lipid Profile</t>
  </si>
  <si>
    <t>CHOL + TRIG + HCHO + LDL</t>
  </si>
  <si>
    <t>Liver Profile</t>
  </si>
  <si>
    <t>PROT + SALB + ALKP + BILD + BILT + SGPT + SGOT + GGT</t>
  </si>
  <si>
    <t>Kidney Profile</t>
  </si>
  <si>
    <t>BUN + CALC + SCRE +  URIC + UREA</t>
  </si>
  <si>
    <t>Iron Profile</t>
  </si>
  <si>
    <t>IRON + TIBC</t>
  </si>
  <si>
    <t>Pancreatic Profile</t>
  </si>
  <si>
    <t>AMYL + LASE</t>
  </si>
  <si>
    <t>Total Thyoid Profile</t>
  </si>
  <si>
    <t>TT3 + TT4 + UTSH</t>
  </si>
  <si>
    <t>Vitamin Profile</t>
  </si>
  <si>
    <t>VB12 + VITDT</t>
  </si>
  <si>
    <t>Advance Thyroid Profile</t>
  </si>
  <si>
    <t>T3-T4-TSH-FT3-FT4</t>
  </si>
  <si>
    <t>ESR</t>
  </si>
  <si>
    <t>ERYTHROCYTE SEDIMENTATION RATE</t>
  </si>
  <si>
    <t>MANUAL</t>
  </si>
  <si>
    <t>Manual</t>
  </si>
  <si>
    <t>LPL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</si>
</sst>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61C3F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59999389629810485"/>
        <bgColor rgb="FFCAEDF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2" tint="-9.9978637043366805E-2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136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center" vertical="center" readingOrder="1"/>
    </xf>
    <xf numFmtId="0" fontId="3" fillId="5" borderId="1" xfId="0" applyFont="1" applyFill="1" applyBorder="1" applyAlignment="1">
      <alignment horizontal="left" vertical="center" readingOrder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4" borderId="1" xfId="1" applyFont="1" applyFill="1" applyBorder="1" applyAlignment="1">
      <alignment horizontal="left"/>
    </xf>
    <xf numFmtId="0" fontId="4" fillId="0" borderId="1" xfId="0" applyFont="1" applyBorder="1"/>
    <xf numFmtId="0" fontId="0" fillId="0" borderId="1" xfId="0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" fontId="3" fillId="5" borderId="1" xfId="0" applyNumberFormat="1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wrapText="1"/>
    </xf>
    <xf numFmtId="0" fontId="6" fillId="0" borderId="1" xfId="0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5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2" fontId="7" fillId="0" borderId="1" xfId="0" applyNumberFormat="1" applyFont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 vertical="top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7" fillId="5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1" xfId="0" applyFont="1" applyFill="1" applyBorder="1"/>
    <xf numFmtId="0" fontId="7" fillId="9" borderId="1" xfId="0" applyFont="1" applyFill="1" applyBorder="1" applyAlignment="1">
      <alignment horizontal="center"/>
    </xf>
    <xf numFmtId="0" fontId="7" fillId="9" borderId="1" xfId="0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2" fontId="7" fillId="9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3" fillId="10" borderId="1" xfId="0" applyFont="1" applyFill="1" applyBorder="1" applyAlignment="1">
      <alignment horizontal="center"/>
    </xf>
    <xf numFmtId="2" fontId="7" fillId="10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/>
    <xf numFmtId="0" fontId="3" fillId="8" borderId="1" xfId="0" applyFont="1" applyFill="1" applyBorder="1" applyAlignment="1">
      <alignment horizontal="center"/>
    </xf>
    <xf numFmtId="2" fontId="7" fillId="8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/>
    <xf numFmtId="0" fontId="3" fillId="11" borderId="1" xfId="0" applyFon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2" borderId="1" xfId="0" applyFont="1" applyFill="1" applyBorder="1"/>
    <xf numFmtId="0" fontId="3" fillId="12" borderId="1" xfId="0" applyFont="1" applyFill="1" applyBorder="1" applyAlignment="1">
      <alignment horizontal="center"/>
    </xf>
    <xf numFmtId="2" fontId="7" fillId="12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3" borderId="1" xfId="0" applyFont="1" applyFill="1" applyBorder="1"/>
    <xf numFmtId="0" fontId="3" fillId="13" borderId="1" xfId="1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/>
    </xf>
    <xf numFmtId="2" fontId="7" fillId="13" borderId="1" xfId="0" applyNumberFormat="1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4" borderId="1" xfId="0" applyFont="1" applyFill="1" applyBorder="1"/>
    <xf numFmtId="0" fontId="3" fillId="14" borderId="1" xfId="0" applyFont="1" applyFill="1" applyBorder="1" applyAlignment="1">
      <alignment horizontal="center"/>
    </xf>
    <xf numFmtId="2" fontId="7" fillId="14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1" xfId="0" applyFont="1" applyFill="1" applyBorder="1"/>
    <xf numFmtId="0" fontId="3" fillId="6" borderId="1" xfId="0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0" fontId="7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3" fillId="15" borderId="1" xfId="1" applyFont="1" applyFill="1" applyBorder="1" applyAlignment="1">
      <alignment horizontal="center"/>
    </xf>
    <xf numFmtId="0" fontId="3" fillId="10" borderId="1" xfId="0" applyFont="1" applyFill="1" applyBorder="1" applyAlignment="1">
      <alignment horizontal="left" vertical="top"/>
    </xf>
    <xf numFmtId="0" fontId="3" fillId="15" borderId="1" xfId="1" applyFont="1" applyFill="1" applyBorder="1"/>
    <xf numFmtId="2" fontId="3" fillId="10" borderId="1" xfId="0" applyNumberFormat="1" applyFont="1" applyFill="1" applyBorder="1" applyAlignment="1">
      <alignment horizontal="center"/>
    </xf>
    <xf numFmtId="1" fontId="3" fillId="10" borderId="1" xfId="0" applyNumberFormat="1" applyFont="1" applyFill="1" applyBorder="1" applyAlignment="1">
      <alignment horizontal="center"/>
    </xf>
    <xf numFmtId="0" fontId="3" fillId="10" borderId="1" xfId="0" applyFont="1" applyFill="1" applyBorder="1"/>
    <xf numFmtId="0" fontId="7" fillId="10" borderId="1" xfId="0" applyFont="1" applyFill="1" applyBorder="1" applyAlignment="1">
      <alignment vertical="center" readingOrder="1"/>
    </xf>
    <xf numFmtId="0" fontId="3" fillId="16" borderId="1" xfId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3" fillId="16" borderId="1" xfId="1" applyFont="1" applyFill="1" applyBorder="1"/>
    <xf numFmtId="2" fontId="3" fillId="17" borderId="1" xfId="0" applyNumberFormat="1" applyFont="1" applyFill="1" applyBorder="1" applyAlignment="1">
      <alignment horizontal="center"/>
    </xf>
    <xf numFmtId="1" fontId="3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/>
    <xf numFmtId="0" fontId="3" fillId="17" borderId="1" xfId="2" applyFont="1" applyFill="1" applyBorder="1" applyAlignment="1">
      <alignment horizontal="center"/>
    </xf>
    <xf numFmtId="0" fontId="3" fillId="17" borderId="1" xfId="2" applyFont="1" applyFill="1" applyBorder="1" applyAlignment="1">
      <alignment horizontal="left"/>
    </xf>
    <xf numFmtId="0" fontId="3" fillId="17" borderId="1" xfId="0" applyFont="1" applyFill="1" applyBorder="1" applyAlignment="1">
      <alignment horizontal="center" vertical="center" readingOrder="1"/>
    </xf>
    <xf numFmtId="0" fontId="3" fillId="17" borderId="1" xfId="0" applyFont="1" applyFill="1" applyBorder="1" applyAlignment="1">
      <alignment horizontal="left" vertical="center" readingOrder="1"/>
    </xf>
    <xf numFmtId="0" fontId="3" fillId="17" borderId="1" xfId="0" applyFont="1" applyFill="1" applyBorder="1" applyAlignment="1">
      <alignment horizontal="center" vertical="top"/>
    </xf>
    <xf numFmtId="0" fontId="3" fillId="17" borderId="1" xfId="0" applyFont="1" applyFill="1" applyBorder="1" applyAlignment="1">
      <alignment horizontal="left" vertical="top"/>
    </xf>
    <xf numFmtId="0" fontId="7" fillId="18" borderId="1" xfId="0" applyFont="1" applyFill="1" applyBorder="1"/>
    <xf numFmtId="0" fontId="3" fillId="18" borderId="1" xfId="0" applyFont="1" applyFill="1" applyBorder="1" applyAlignment="1">
      <alignment horizontal="center"/>
    </xf>
    <xf numFmtId="2" fontId="3" fillId="18" borderId="1" xfId="0" applyNumberFormat="1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7" fillId="17" borderId="1" xfId="0" applyFont="1" applyFill="1" applyBorder="1"/>
    <xf numFmtId="2" fontId="7" fillId="17" borderId="1" xfId="0" applyNumberFormat="1" applyFont="1" applyFill="1" applyBorder="1" applyAlignment="1">
      <alignment horizontal="center"/>
    </xf>
    <xf numFmtId="1" fontId="3" fillId="4" borderId="1" xfId="1" applyNumberFormat="1" applyFont="1" applyFill="1" applyBorder="1" applyAlignment="1">
      <alignment horizontal="center"/>
    </xf>
    <xf numFmtId="0" fontId="3" fillId="5" borderId="1" xfId="1" applyFont="1" applyFill="1" applyBorder="1"/>
    <xf numFmtId="2" fontId="3" fillId="4" borderId="1" xfId="1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0" fontId="3" fillId="0" borderId="1" xfId="1" applyFont="1" applyBorder="1"/>
    <xf numFmtId="2" fontId="3" fillId="0" borderId="1" xfId="1" applyNumberFormat="1" applyFont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3" fillId="6" borderId="1" xfId="1" applyFont="1" applyFill="1" applyBorder="1" applyAlignment="1">
      <alignment horizontal="center"/>
    </xf>
    <xf numFmtId="0" fontId="3" fillId="19" borderId="1" xfId="1" applyFont="1" applyFill="1" applyBorder="1" applyAlignment="1">
      <alignment horizontal="center"/>
    </xf>
    <xf numFmtId="0" fontId="2" fillId="20" borderId="1" xfId="4" applyFont="1" applyFill="1" applyBorder="1" applyAlignment="1">
      <alignment horizontal="center" vertical="center"/>
    </xf>
    <xf numFmtId="0" fontId="2" fillId="20" borderId="1" xfId="4" applyFont="1" applyFill="1" applyBorder="1"/>
    <xf numFmtId="0" fontId="2" fillId="20" borderId="1" xfId="4" applyFont="1" applyFill="1" applyBorder="1" applyAlignment="1">
      <alignment horizontal="left" vertical="center"/>
    </xf>
    <xf numFmtId="0" fontId="2" fillId="20" borderId="1" xfId="4" applyFont="1" applyFill="1" applyBorder="1" applyAlignment="1">
      <alignment horizontal="center"/>
    </xf>
    <xf numFmtId="0" fontId="3" fillId="5" borderId="1" xfId="4" applyFont="1" applyFill="1" applyBorder="1" applyAlignment="1">
      <alignment horizontal="center"/>
    </xf>
    <xf numFmtId="0" fontId="3" fillId="0" borderId="1" xfId="4" applyFont="1" applyBorder="1"/>
    <xf numFmtId="0" fontId="3" fillId="0" borderId="1" xfId="4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0" fontId="3" fillId="5" borderId="1" xfId="4" applyFont="1" applyFill="1" applyBorder="1" applyAlignment="1">
      <alignment horizontal="left"/>
    </xf>
    <xf numFmtId="0" fontId="9" fillId="0" borderId="1" xfId="4" applyFont="1" applyBorder="1" applyAlignment="1">
      <alignment horizontal="center"/>
    </xf>
    <xf numFmtId="0" fontId="3" fillId="10" borderId="2" xfId="4" applyFont="1" applyFill="1" applyBorder="1" applyAlignment="1">
      <alignment horizontal="center"/>
    </xf>
    <xf numFmtId="0" fontId="3" fillId="10" borderId="3" xfId="4" applyFont="1" applyFill="1" applyBorder="1" applyAlignment="1">
      <alignment horizontal="center"/>
    </xf>
    <xf numFmtId="0" fontId="3" fillId="10" borderId="4" xfId="4" applyFont="1" applyFill="1" applyBorder="1" applyAlignment="1">
      <alignment horizontal="center"/>
    </xf>
    <xf numFmtId="0" fontId="7" fillId="5" borderId="1" xfId="0" applyFont="1" applyFill="1" applyBorder="1"/>
    <xf numFmtId="0" fontId="3" fillId="0" borderId="1" xfId="4" applyFont="1" applyFill="1" applyBorder="1" applyAlignment="1">
      <alignment horizontal="center"/>
    </xf>
    <xf numFmtId="0" fontId="0" fillId="0" borderId="1" xfId="0" applyBorder="1"/>
  </cellXfs>
  <cellStyles count="5">
    <cellStyle name="Comma 3" xfId="3" xr:uid="{93B3802D-2ADC-4D1F-939A-BF53B04A7964}"/>
    <cellStyle name="Normal" xfId="0" builtinId="0"/>
    <cellStyle name="Normal 2" xfId="2" xr:uid="{E72A4B01-4BE5-40B0-8F27-6E8A1661DD78}"/>
    <cellStyle name="Normal 3" xfId="1" xr:uid="{B79B0495-ED52-49F0-985F-E3631C2A9485}"/>
    <cellStyle name="Normal 4" xfId="4" xr:uid="{6EF18E36-EFAE-4242-BACE-7CE3858CC31D}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2ABF-2EC8-4721-AFAE-CA8F02393553}">
  <dimension ref="A1:O17"/>
  <sheetViews>
    <sheetView topLeftCell="E1" workbookViewId="0">
      <selection activeCell="O17" sqref="A1:O17"/>
    </sheetView>
  </sheetViews>
  <sheetFormatPr defaultRowHeight="14.4" x14ac:dyDescent="0.3"/>
  <cols>
    <col min="2" max="2" width="9.109375" style="22"/>
    <col min="3" max="3" width="39.109375" customWidth="1"/>
    <col min="4" max="4" width="11.77734375" customWidth="1"/>
    <col min="5" max="5" width="15.33203125" bestFit="1" customWidth="1"/>
    <col min="6" max="10" width="9.109375" style="22"/>
    <col min="14" max="14" width="0" hidden="1" customWidth="1"/>
    <col min="15" max="15" width="52.88671875" customWidth="1"/>
  </cols>
  <sheetData>
    <row r="1" spans="1:15" ht="18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376</v>
      </c>
      <c r="F1" s="1" t="s">
        <v>4</v>
      </c>
      <c r="G1" s="1" t="s">
        <v>5</v>
      </c>
      <c r="H1" s="1" t="s">
        <v>6</v>
      </c>
      <c r="I1" s="4" t="s">
        <v>7</v>
      </c>
      <c r="J1" s="4" t="s">
        <v>8</v>
      </c>
      <c r="K1" s="4" t="s">
        <v>35</v>
      </c>
      <c r="L1" s="4" t="s">
        <v>36</v>
      </c>
      <c r="M1" s="4" t="s">
        <v>37</v>
      </c>
      <c r="N1" s="4" t="s">
        <v>9</v>
      </c>
      <c r="O1" s="5" t="s">
        <v>10</v>
      </c>
    </row>
    <row r="2" spans="1:15" ht="18" customHeight="1" x14ac:dyDescent="0.3">
      <c r="A2" s="90">
        <v>1</v>
      </c>
      <c r="B2" s="91" t="s">
        <v>28</v>
      </c>
      <c r="C2" s="92" t="s">
        <v>29</v>
      </c>
      <c r="D2" s="93" t="s">
        <v>30</v>
      </c>
      <c r="E2" s="93" t="s">
        <v>377</v>
      </c>
      <c r="F2" s="91">
        <v>25</v>
      </c>
      <c r="G2" s="91">
        <v>250</v>
      </c>
      <c r="H2" s="91">
        <v>500</v>
      </c>
      <c r="I2" s="94">
        <f t="shared" ref="I2:I17" si="0">G2/F2</f>
        <v>10</v>
      </c>
      <c r="J2" s="94">
        <f t="shared" ref="J2:J17" si="1">H2/F2</f>
        <v>20</v>
      </c>
      <c r="K2" s="95">
        <f t="shared" ref="K2:K17" si="2">H2-G2</f>
        <v>250</v>
      </c>
      <c r="L2" s="95">
        <f t="shared" ref="L2:L17" si="3">K2/2</f>
        <v>125</v>
      </c>
      <c r="M2" s="95">
        <f>L2</f>
        <v>125</v>
      </c>
      <c r="N2" s="91" t="s">
        <v>14</v>
      </c>
      <c r="O2" s="96" t="s">
        <v>398</v>
      </c>
    </row>
    <row r="3" spans="1:15" ht="18" customHeight="1" x14ac:dyDescent="0.3">
      <c r="A3" s="90">
        <v>2</v>
      </c>
      <c r="B3" s="97" t="s">
        <v>31</v>
      </c>
      <c r="C3" s="98" t="s">
        <v>32</v>
      </c>
      <c r="D3" s="93" t="s">
        <v>13</v>
      </c>
      <c r="E3" s="93" t="s">
        <v>377</v>
      </c>
      <c r="F3" s="91">
        <v>50</v>
      </c>
      <c r="G3" s="97">
        <v>500</v>
      </c>
      <c r="H3" s="97">
        <v>1000</v>
      </c>
      <c r="I3" s="94">
        <f t="shared" si="0"/>
        <v>10</v>
      </c>
      <c r="J3" s="94">
        <f t="shared" si="1"/>
        <v>20</v>
      </c>
      <c r="K3" s="95">
        <f t="shared" si="2"/>
        <v>500</v>
      </c>
      <c r="L3" s="95">
        <f t="shared" si="3"/>
        <v>250</v>
      </c>
      <c r="M3" s="95">
        <f t="shared" ref="M3:M17" si="4">L3</f>
        <v>250</v>
      </c>
      <c r="N3" s="91" t="s">
        <v>14</v>
      </c>
      <c r="O3" s="96" t="s">
        <v>399</v>
      </c>
    </row>
    <row r="4" spans="1:15" ht="18" customHeight="1" x14ac:dyDescent="0.3">
      <c r="A4" s="90">
        <v>3</v>
      </c>
      <c r="B4" s="97" t="s">
        <v>26</v>
      </c>
      <c r="C4" s="98" t="s">
        <v>27</v>
      </c>
      <c r="D4" s="93" t="s">
        <v>13</v>
      </c>
      <c r="E4" s="93" t="s">
        <v>377</v>
      </c>
      <c r="F4" s="91">
        <v>200</v>
      </c>
      <c r="G4" s="97">
        <v>1000</v>
      </c>
      <c r="H4" s="97">
        <v>2000</v>
      </c>
      <c r="I4" s="94">
        <f t="shared" si="0"/>
        <v>5</v>
      </c>
      <c r="J4" s="94">
        <f t="shared" si="1"/>
        <v>10</v>
      </c>
      <c r="K4" s="95">
        <f t="shared" si="2"/>
        <v>1000</v>
      </c>
      <c r="L4" s="95">
        <f t="shared" si="3"/>
        <v>500</v>
      </c>
      <c r="M4" s="95">
        <f t="shared" si="4"/>
        <v>500</v>
      </c>
      <c r="N4" s="91" t="s">
        <v>14</v>
      </c>
      <c r="O4" s="96" t="s">
        <v>400</v>
      </c>
    </row>
    <row r="5" spans="1:15" ht="18" customHeight="1" x14ac:dyDescent="0.3">
      <c r="A5" s="90">
        <v>4</v>
      </c>
      <c r="B5" s="97" t="s">
        <v>20</v>
      </c>
      <c r="C5" s="98" t="s">
        <v>21</v>
      </c>
      <c r="D5" s="93" t="s">
        <v>13</v>
      </c>
      <c r="E5" s="93" t="s">
        <v>377</v>
      </c>
      <c r="F5" s="91">
        <v>400</v>
      </c>
      <c r="G5" s="97">
        <v>1200</v>
      </c>
      <c r="H5" s="97">
        <v>2500</v>
      </c>
      <c r="I5" s="94">
        <f t="shared" si="0"/>
        <v>3</v>
      </c>
      <c r="J5" s="94">
        <f t="shared" si="1"/>
        <v>6.25</v>
      </c>
      <c r="K5" s="95">
        <f t="shared" si="2"/>
        <v>1300</v>
      </c>
      <c r="L5" s="95">
        <f t="shared" si="3"/>
        <v>650</v>
      </c>
      <c r="M5" s="95">
        <f t="shared" si="4"/>
        <v>650</v>
      </c>
      <c r="N5" s="91" t="s">
        <v>14</v>
      </c>
      <c r="O5" s="96" t="s">
        <v>22</v>
      </c>
    </row>
    <row r="6" spans="1:15" ht="18" customHeight="1" x14ac:dyDescent="0.3">
      <c r="A6" s="90">
        <v>5</v>
      </c>
      <c r="B6" s="91" t="s">
        <v>15</v>
      </c>
      <c r="C6" s="92" t="s">
        <v>388</v>
      </c>
      <c r="D6" s="93" t="s">
        <v>13</v>
      </c>
      <c r="E6" s="93" t="s">
        <v>377</v>
      </c>
      <c r="F6" s="91">
        <v>1000</v>
      </c>
      <c r="G6" s="91">
        <v>1500</v>
      </c>
      <c r="H6" s="91">
        <v>3000</v>
      </c>
      <c r="I6" s="94">
        <f t="shared" si="0"/>
        <v>1.5</v>
      </c>
      <c r="J6" s="94">
        <f t="shared" si="1"/>
        <v>3</v>
      </c>
      <c r="K6" s="95">
        <f t="shared" si="2"/>
        <v>1500</v>
      </c>
      <c r="L6" s="95">
        <f t="shared" si="3"/>
        <v>750</v>
      </c>
      <c r="M6" s="95">
        <f t="shared" si="4"/>
        <v>750</v>
      </c>
      <c r="N6" s="91" t="s">
        <v>14</v>
      </c>
      <c r="O6" s="96" t="s">
        <v>16</v>
      </c>
    </row>
    <row r="7" spans="1:15" ht="18" customHeight="1" x14ac:dyDescent="0.3">
      <c r="A7" s="90">
        <v>6</v>
      </c>
      <c r="B7" s="99" t="s">
        <v>24</v>
      </c>
      <c r="C7" s="100" t="s">
        <v>25</v>
      </c>
      <c r="D7" s="93" t="s">
        <v>13</v>
      </c>
      <c r="E7" s="93" t="s">
        <v>377</v>
      </c>
      <c r="F7" s="91">
        <v>450</v>
      </c>
      <c r="G7" s="91">
        <v>1500</v>
      </c>
      <c r="H7" s="91">
        <v>3000</v>
      </c>
      <c r="I7" s="94">
        <f t="shared" si="0"/>
        <v>3.3333333333333335</v>
      </c>
      <c r="J7" s="94">
        <f t="shared" si="1"/>
        <v>6.666666666666667</v>
      </c>
      <c r="K7" s="95">
        <f t="shared" si="2"/>
        <v>1500</v>
      </c>
      <c r="L7" s="95">
        <f t="shared" si="3"/>
        <v>750</v>
      </c>
      <c r="M7" s="95">
        <f t="shared" si="4"/>
        <v>750</v>
      </c>
      <c r="N7" s="91" t="s">
        <v>14</v>
      </c>
      <c r="O7" s="96" t="s">
        <v>386</v>
      </c>
    </row>
    <row r="8" spans="1:15" ht="18" customHeight="1" x14ac:dyDescent="0.3">
      <c r="A8" s="90">
        <v>7</v>
      </c>
      <c r="B8" s="99" t="s">
        <v>23</v>
      </c>
      <c r="C8" s="100" t="s">
        <v>389</v>
      </c>
      <c r="D8" s="93" t="s">
        <v>13</v>
      </c>
      <c r="E8" s="93" t="s">
        <v>377</v>
      </c>
      <c r="F8" s="91">
        <v>600</v>
      </c>
      <c r="G8" s="91">
        <v>1600</v>
      </c>
      <c r="H8" s="91">
        <v>3200</v>
      </c>
      <c r="I8" s="94">
        <f t="shared" si="0"/>
        <v>2.6666666666666665</v>
      </c>
      <c r="J8" s="94">
        <f t="shared" si="1"/>
        <v>5.333333333333333</v>
      </c>
      <c r="K8" s="95">
        <f t="shared" si="2"/>
        <v>1600</v>
      </c>
      <c r="L8" s="95">
        <f t="shared" si="3"/>
        <v>800</v>
      </c>
      <c r="M8" s="95">
        <f t="shared" si="4"/>
        <v>800</v>
      </c>
      <c r="N8" s="91" t="s">
        <v>14</v>
      </c>
      <c r="O8" s="96" t="s">
        <v>387</v>
      </c>
    </row>
    <row r="9" spans="1:15" ht="18" customHeight="1" x14ac:dyDescent="0.3">
      <c r="A9" s="90">
        <v>8</v>
      </c>
      <c r="B9" s="99" t="s">
        <v>17</v>
      </c>
      <c r="C9" s="100" t="s">
        <v>18</v>
      </c>
      <c r="D9" s="93" t="s">
        <v>19</v>
      </c>
      <c r="E9" s="93" t="s">
        <v>377</v>
      </c>
      <c r="F9" s="91">
        <v>1500</v>
      </c>
      <c r="G9" s="91">
        <v>3000</v>
      </c>
      <c r="H9" s="91">
        <v>5000</v>
      </c>
      <c r="I9" s="94">
        <f t="shared" si="0"/>
        <v>2</v>
      </c>
      <c r="J9" s="94">
        <f t="shared" si="1"/>
        <v>3.3333333333333335</v>
      </c>
      <c r="K9" s="95">
        <f t="shared" si="2"/>
        <v>2000</v>
      </c>
      <c r="L9" s="95">
        <f t="shared" si="3"/>
        <v>1000</v>
      </c>
      <c r="M9" s="95">
        <f t="shared" si="4"/>
        <v>1000</v>
      </c>
      <c r="N9" s="91" t="s">
        <v>14</v>
      </c>
      <c r="O9" s="96" t="s">
        <v>390</v>
      </c>
    </row>
    <row r="10" spans="1:15" ht="18" customHeight="1" x14ac:dyDescent="0.3">
      <c r="A10" s="90">
        <v>9</v>
      </c>
      <c r="B10" s="101" t="s">
        <v>11</v>
      </c>
      <c r="C10" s="102" t="s">
        <v>12</v>
      </c>
      <c r="D10" s="93" t="s">
        <v>13</v>
      </c>
      <c r="E10" s="93" t="s">
        <v>377</v>
      </c>
      <c r="F10" s="91">
        <v>4000</v>
      </c>
      <c r="G10" s="91">
        <v>5000</v>
      </c>
      <c r="H10" s="91">
        <v>8000</v>
      </c>
      <c r="I10" s="94">
        <f t="shared" si="0"/>
        <v>1.25</v>
      </c>
      <c r="J10" s="94">
        <f t="shared" si="1"/>
        <v>2</v>
      </c>
      <c r="K10" s="95">
        <f t="shared" si="2"/>
        <v>3000</v>
      </c>
      <c r="L10" s="95">
        <f t="shared" si="3"/>
        <v>1500</v>
      </c>
      <c r="M10" s="95">
        <f t="shared" si="4"/>
        <v>1500</v>
      </c>
      <c r="N10" s="91" t="s">
        <v>14</v>
      </c>
      <c r="O10" s="96" t="s">
        <v>391</v>
      </c>
    </row>
    <row r="11" spans="1:15" ht="18" customHeight="1" x14ac:dyDescent="0.3">
      <c r="A11" s="83">
        <v>10</v>
      </c>
      <c r="B11" s="51" t="s">
        <v>385</v>
      </c>
      <c r="C11" s="84" t="s">
        <v>368</v>
      </c>
      <c r="D11" s="85" t="s">
        <v>13</v>
      </c>
      <c r="E11" s="85" t="s">
        <v>377</v>
      </c>
      <c r="F11" s="51">
        <v>133</v>
      </c>
      <c r="G11" s="51">
        <v>400</v>
      </c>
      <c r="H11" s="51">
        <v>800</v>
      </c>
      <c r="I11" s="86">
        <f t="shared" si="0"/>
        <v>3.007518796992481</v>
      </c>
      <c r="J11" s="86">
        <f t="shared" si="1"/>
        <v>6.0150375939849621</v>
      </c>
      <c r="K11" s="87">
        <f t="shared" si="2"/>
        <v>400</v>
      </c>
      <c r="L11" s="87">
        <f t="shared" si="3"/>
        <v>200</v>
      </c>
      <c r="M11" s="87">
        <f t="shared" si="4"/>
        <v>200</v>
      </c>
      <c r="N11" s="51" t="s">
        <v>14</v>
      </c>
      <c r="O11" s="88" t="s">
        <v>369</v>
      </c>
    </row>
    <row r="12" spans="1:15" ht="18" customHeight="1" x14ac:dyDescent="0.3">
      <c r="A12" s="83">
        <v>11</v>
      </c>
      <c r="B12" s="51" t="s">
        <v>384</v>
      </c>
      <c r="C12" s="84" t="s">
        <v>370</v>
      </c>
      <c r="D12" s="85" t="s">
        <v>378</v>
      </c>
      <c r="E12" s="85" t="s">
        <v>377</v>
      </c>
      <c r="F12" s="51">
        <v>322</v>
      </c>
      <c r="G12" s="51">
        <v>1000</v>
      </c>
      <c r="H12" s="51">
        <v>1700</v>
      </c>
      <c r="I12" s="86">
        <f t="shared" si="0"/>
        <v>3.1055900621118013</v>
      </c>
      <c r="J12" s="86">
        <f t="shared" si="1"/>
        <v>5.2795031055900621</v>
      </c>
      <c r="K12" s="87">
        <f t="shared" si="2"/>
        <v>700</v>
      </c>
      <c r="L12" s="87">
        <f t="shared" si="3"/>
        <v>350</v>
      </c>
      <c r="M12" s="87">
        <f t="shared" si="4"/>
        <v>350</v>
      </c>
      <c r="N12" s="51" t="s">
        <v>14</v>
      </c>
      <c r="O12" s="89" t="s">
        <v>371</v>
      </c>
    </row>
    <row r="13" spans="1:15" ht="18" customHeight="1" x14ac:dyDescent="0.3">
      <c r="A13" s="83">
        <v>12</v>
      </c>
      <c r="B13" s="51" t="s">
        <v>383</v>
      </c>
      <c r="C13" s="84" t="s">
        <v>372</v>
      </c>
      <c r="D13" s="85" t="s">
        <v>378</v>
      </c>
      <c r="E13" s="85" t="s">
        <v>377</v>
      </c>
      <c r="F13" s="51">
        <v>292</v>
      </c>
      <c r="G13" s="51">
        <v>900</v>
      </c>
      <c r="H13" s="51">
        <v>1500</v>
      </c>
      <c r="I13" s="86">
        <f t="shared" si="0"/>
        <v>3.0821917808219177</v>
      </c>
      <c r="J13" s="86">
        <f t="shared" si="1"/>
        <v>5.1369863013698627</v>
      </c>
      <c r="K13" s="87">
        <f t="shared" si="2"/>
        <v>600</v>
      </c>
      <c r="L13" s="87">
        <f t="shared" si="3"/>
        <v>300</v>
      </c>
      <c r="M13" s="87">
        <f t="shared" si="4"/>
        <v>300</v>
      </c>
      <c r="N13" s="51" t="s">
        <v>14</v>
      </c>
      <c r="O13" s="89" t="s">
        <v>373</v>
      </c>
    </row>
    <row r="14" spans="1:15" ht="18" customHeight="1" x14ac:dyDescent="0.3">
      <c r="A14" s="83">
        <v>13</v>
      </c>
      <c r="B14" s="51" t="s">
        <v>382</v>
      </c>
      <c r="C14" s="50" t="s">
        <v>392</v>
      </c>
      <c r="D14" s="85" t="s">
        <v>13</v>
      </c>
      <c r="E14" s="85" t="s">
        <v>377</v>
      </c>
      <c r="F14" s="51">
        <v>263</v>
      </c>
      <c r="G14" s="51">
        <v>800</v>
      </c>
      <c r="H14" s="51">
        <v>1600</v>
      </c>
      <c r="I14" s="86">
        <f t="shared" si="0"/>
        <v>3.041825095057034</v>
      </c>
      <c r="J14" s="86">
        <f t="shared" si="1"/>
        <v>6.083650190114068</v>
      </c>
      <c r="K14" s="87">
        <f t="shared" si="2"/>
        <v>800</v>
      </c>
      <c r="L14" s="87">
        <f t="shared" si="3"/>
        <v>400</v>
      </c>
      <c r="M14" s="87">
        <f t="shared" si="4"/>
        <v>400</v>
      </c>
      <c r="N14" s="51" t="s">
        <v>14</v>
      </c>
      <c r="O14" s="50" t="s">
        <v>374</v>
      </c>
    </row>
    <row r="15" spans="1:15" ht="18" customHeight="1" x14ac:dyDescent="0.3">
      <c r="A15" s="83">
        <v>14</v>
      </c>
      <c r="B15" s="51" t="s">
        <v>381</v>
      </c>
      <c r="C15" s="84" t="s">
        <v>393</v>
      </c>
      <c r="D15" s="85" t="s">
        <v>13</v>
      </c>
      <c r="E15" s="85" t="s">
        <v>377</v>
      </c>
      <c r="F15" s="51">
        <v>134</v>
      </c>
      <c r="G15" s="51">
        <v>600</v>
      </c>
      <c r="H15" s="51">
        <v>1000</v>
      </c>
      <c r="I15" s="86">
        <f t="shared" si="0"/>
        <v>4.4776119402985071</v>
      </c>
      <c r="J15" s="86">
        <f t="shared" si="1"/>
        <v>7.4626865671641793</v>
      </c>
      <c r="K15" s="87">
        <f t="shared" si="2"/>
        <v>400</v>
      </c>
      <c r="L15" s="87">
        <f t="shared" si="3"/>
        <v>200</v>
      </c>
      <c r="M15" s="87">
        <f t="shared" si="4"/>
        <v>200</v>
      </c>
      <c r="N15" s="51" t="s">
        <v>14</v>
      </c>
      <c r="O15" s="88" t="s">
        <v>396</v>
      </c>
    </row>
    <row r="16" spans="1:15" ht="18" customHeight="1" x14ac:dyDescent="0.3">
      <c r="A16" s="83">
        <v>15</v>
      </c>
      <c r="B16" s="51" t="s">
        <v>380</v>
      </c>
      <c r="C16" s="84" t="s">
        <v>394</v>
      </c>
      <c r="D16" s="85" t="s">
        <v>13</v>
      </c>
      <c r="E16" s="85" t="s">
        <v>377</v>
      </c>
      <c r="F16" s="51">
        <v>97</v>
      </c>
      <c r="G16" s="51">
        <v>550</v>
      </c>
      <c r="H16" s="51">
        <v>1000</v>
      </c>
      <c r="I16" s="86">
        <f t="shared" si="0"/>
        <v>5.6701030927835054</v>
      </c>
      <c r="J16" s="86">
        <f t="shared" si="1"/>
        <v>10.309278350515465</v>
      </c>
      <c r="K16" s="87">
        <f t="shared" si="2"/>
        <v>450</v>
      </c>
      <c r="L16" s="87">
        <f t="shared" si="3"/>
        <v>225</v>
      </c>
      <c r="M16" s="87">
        <f t="shared" si="4"/>
        <v>225</v>
      </c>
      <c r="N16" s="51" t="s">
        <v>14</v>
      </c>
      <c r="O16" s="88" t="s">
        <v>397</v>
      </c>
    </row>
    <row r="17" spans="1:15" ht="18" customHeight="1" x14ac:dyDescent="0.3">
      <c r="A17" s="83">
        <v>16</v>
      </c>
      <c r="B17" s="51" t="s">
        <v>379</v>
      </c>
      <c r="C17" s="84" t="s">
        <v>395</v>
      </c>
      <c r="D17" s="85" t="s">
        <v>13</v>
      </c>
      <c r="E17" s="85" t="s">
        <v>377</v>
      </c>
      <c r="F17" s="51">
        <v>415</v>
      </c>
      <c r="G17" s="51">
        <v>1000</v>
      </c>
      <c r="H17" s="51">
        <v>1500</v>
      </c>
      <c r="I17" s="86">
        <f t="shared" si="0"/>
        <v>2.4096385542168677</v>
      </c>
      <c r="J17" s="86">
        <f t="shared" si="1"/>
        <v>3.6144578313253013</v>
      </c>
      <c r="K17" s="87">
        <f t="shared" si="2"/>
        <v>500</v>
      </c>
      <c r="L17" s="87">
        <f t="shared" si="3"/>
        <v>250</v>
      </c>
      <c r="M17" s="87">
        <f t="shared" si="4"/>
        <v>250</v>
      </c>
      <c r="N17" s="51" t="s">
        <v>14</v>
      </c>
      <c r="O17" s="88" t="s">
        <v>401</v>
      </c>
    </row>
  </sheetData>
  <autoFilter ref="A1:O1" xr:uid="{98D32ABF-2EC8-4721-AFAE-CA8F02393553}">
    <sortState xmlns:xlrd2="http://schemas.microsoft.com/office/spreadsheetml/2017/richdata2" ref="A2:O10">
      <sortCondition ref="G1"/>
    </sortState>
  </autoFilter>
  <conditionalFormatting sqref="B1:B10">
    <cfRule type="duplicateValues" dxfId="5" priority="2"/>
  </conditionalFormatting>
  <conditionalFormatting sqref="C7:C10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71EF-64DC-42EA-82A7-9E6446AD3543}">
  <dimension ref="A1:L80"/>
  <sheetViews>
    <sheetView workbookViewId="0">
      <selection activeCell="D83" sqref="D83"/>
    </sheetView>
  </sheetViews>
  <sheetFormatPr defaultRowHeight="14.4" x14ac:dyDescent="0.3"/>
  <cols>
    <col min="3" max="3" width="43.88671875" bestFit="1" customWidth="1"/>
    <col min="4" max="4" width="13.44140625" bestFit="1" customWidth="1"/>
    <col min="5" max="5" width="9.44140625" bestFit="1" customWidth="1"/>
    <col min="6" max="6" width="0" hidden="1" customWidth="1"/>
    <col min="11" max="12" width="0" hidden="1" customWidth="1"/>
  </cols>
  <sheetData>
    <row r="1" spans="1:12" ht="15.6" x14ac:dyDescent="0.3">
      <c r="A1" s="1" t="s">
        <v>0</v>
      </c>
      <c r="B1" s="1" t="s">
        <v>1</v>
      </c>
      <c r="C1" s="2" t="s">
        <v>2</v>
      </c>
      <c r="D1" s="2" t="s">
        <v>33</v>
      </c>
      <c r="E1" s="2" t="s">
        <v>3</v>
      </c>
      <c r="F1" s="1" t="s">
        <v>4</v>
      </c>
      <c r="G1" s="1" t="s">
        <v>5</v>
      </c>
      <c r="H1" s="1" t="s">
        <v>6</v>
      </c>
      <c r="I1" s="2" t="s">
        <v>34</v>
      </c>
      <c r="J1" s="4" t="s">
        <v>9</v>
      </c>
      <c r="K1" s="4" t="s">
        <v>7</v>
      </c>
      <c r="L1" s="4" t="s">
        <v>8</v>
      </c>
    </row>
    <row r="2" spans="1:12" ht="15.6" x14ac:dyDescent="0.3">
      <c r="A2" s="6">
        <v>1</v>
      </c>
      <c r="B2" s="6" t="s">
        <v>456</v>
      </c>
      <c r="C2" s="17" t="s">
        <v>457</v>
      </c>
      <c r="D2" s="17" t="s">
        <v>38</v>
      </c>
      <c r="E2" s="17" t="s">
        <v>13</v>
      </c>
      <c r="F2" s="109">
        <v>10</v>
      </c>
      <c r="G2" s="6">
        <v>10</v>
      </c>
      <c r="H2" s="116">
        <v>100</v>
      </c>
      <c r="I2" s="17" t="s">
        <v>39</v>
      </c>
      <c r="J2" s="9" t="s">
        <v>619</v>
      </c>
      <c r="K2" s="10">
        <v>1</v>
      </c>
      <c r="L2" s="10">
        <v>10</v>
      </c>
    </row>
    <row r="3" spans="1:12" ht="15.6" x14ac:dyDescent="0.3">
      <c r="A3" s="6">
        <v>2</v>
      </c>
      <c r="B3" s="6" t="s">
        <v>497</v>
      </c>
      <c r="C3" s="17" t="s">
        <v>498</v>
      </c>
      <c r="D3" s="17" t="s">
        <v>41</v>
      </c>
      <c r="E3" s="17" t="s">
        <v>13</v>
      </c>
      <c r="F3" s="111">
        <v>0.75</v>
      </c>
      <c r="G3" s="6">
        <v>10</v>
      </c>
      <c r="H3" s="116">
        <v>100</v>
      </c>
      <c r="I3" s="17" t="s">
        <v>616</v>
      </c>
      <c r="J3" s="9" t="s">
        <v>619</v>
      </c>
      <c r="K3" s="10">
        <v>13.333333333333334</v>
      </c>
      <c r="L3" s="10">
        <v>133.33333333333334</v>
      </c>
    </row>
    <row r="4" spans="1:12" ht="15.6" x14ac:dyDescent="0.3">
      <c r="A4" s="6">
        <v>3</v>
      </c>
      <c r="B4" s="6" t="s">
        <v>503</v>
      </c>
      <c r="C4" s="17" t="s">
        <v>504</v>
      </c>
      <c r="D4" s="17" t="s">
        <v>41</v>
      </c>
      <c r="E4" s="17" t="s">
        <v>505</v>
      </c>
      <c r="F4" s="111">
        <v>0.75</v>
      </c>
      <c r="G4" s="6">
        <v>10</v>
      </c>
      <c r="H4" s="116">
        <v>100</v>
      </c>
      <c r="I4" s="17" t="s">
        <v>616</v>
      </c>
      <c r="J4" s="9" t="s">
        <v>619</v>
      </c>
      <c r="K4" s="10">
        <v>13.333333333333334</v>
      </c>
      <c r="L4" s="10">
        <v>133.33333333333334</v>
      </c>
    </row>
    <row r="5" spans="1:12" ht="15.6" x14ac:dyDescent="0.3">
      <c r="A5" s="6">
        <v>4</v>
      </c>
      <c r="B5" s="6" t="s">
        <v>513</v>
      </c>
      <c r="C5" s="17" t="s">
        <v>514</v>
      </c>
      <c r="D5" s="17" t="s">
        <v>41</v>
      </c>
      <c r="E5" s="17" t="s">
        <v>505</v>
      </c>
      <c r="F5" s="111">
        <v>0.75</v>
      </c>
      <c r="G5" s="6">
        <v>10</v>
      </c>
      <c r="H5" s="116">
        <v>100</v>
      </c>
      <c r="I5" s="17" t="s">
        <v>616</v>
      </c>
      <c r="J5" s="9" t="s">
        <v>619</v>
      </c>
      <c r="K5" s="10">
        <v>13.333333333333334</v>
      </c>
      <c r="L5" s="10">
        <v>133.33333333333334</v>
      </c>
    </row>
    <row r="6" spans="1:12" ht="15.6" x14ac:dyDescent="0.3">
      <c r="A6" s="6">
        <v>5</v>
      </c>
      <c r="B6" s="6" t="s">
        <v>515</v>
      </c>
      <c r="C6" s="17" t="s">
        <v>516</v>
      </c>
      <c r="D6" s="17" t="s">
        <v>41</v>
      </c>
      <c r="E6" s="17" t="s">
        <v>505</v>
      </c>
      <c r="F6" s="111">
        <v>0.75</v>
      </c>
      <c r="G6" s="6">
        <v>10</v>
      </c>
      <c r="H6" s="116">
        <v>100</v>
      </c>
      <c r="I6" s="17" t="s">
        <v>616</v>
      </c>
      <c r="J6" s="9" t="s">
        <v>619</v>
      </c>
      <c r="K6" s="10">
        <v>13.333333333333334</v>
      </c>
      <c r="L6" s="10">
        <v>133.33333333333334</v>
      </c>
    </row>
    <row r="7" spans="1:12" ht="15.6" x14ac:dyDescent="0.3">
      <c r="A7" s="6">
        <v>6</v>
      </c>
      <c r="B7" s="6" t="s">
        <v>517</v>
      </c>
      <c r="C7" s="17" t="s">
        <v>518</v>
      </c>
      <c r="D7" s="17" t="s">
        <v>41</v>
      </c>
      <c r="E7" s="17" t="s">
        <v>13</v>
      </c>
      <c r="F7" s="111">
        <v>1.4000000000000001</v>
      </c>
      <c r="G7" s="6">
        <v>10</v>
      </c>
      <c r="H7" s="116">
        <v>100</v>
      </c>
      <c r="I7" s="17" t="s">
        <v>616</v>
      </c>
      <c r="J7" s="9" t="s">
        <v>619</v>
      </c>
      <c r="K7" s="10">
        <v>7.1428571428571423</v>
      </c>
      <c r="L7" s="10">
        <v>71.428571428571416</v>
      </c>
    </row>
    <row r="8" spans="1:12" ht="15.6" x14ac:dyDescent="0.3">
      <c r="A8" s="6">
        <v>7</v>
      </c>
      <c r="B8" s="6" t="s">
        <v>523</v>
      </c>
      <c r="C8" s="17" t="s">
        <v>524</v>
      </c>
      <c r="D8" s="17" t="s">
        <v>41</v>
      </c>
      <c r="E8" s="17" t="s">
        <v>13</v>
      </c>
      <c r="F8" s="111">
        <v>2.75</v>
      </c>
      <c r="G8" s="6">
        <v>10</v>
      </c>
      <c r="H8" s="116">
        <v>100</v>
      </c>
      <c r="I8" s="17" t="s">
        <v>616</v>
      </c>
      <c r="J8" s="9" t="s">
        <v>619</v>
      </c>
      <c r="K8" s="10">
        <v>3.6363636363636362</v>
      </c>
      <c r="L8" s="10">
        <v>36.363636363636367</v>
      </c>
    </row>
    <row r="9" spans="1:12" ht="15.6" x14ac:dyDescent="0.3">
      <c r="A9" s="6">
        <v>8</v>
      </c>
      <c r="B9" s="6" t="s">
        <v>530</v>
      </c>
      <c r="C9" s="17" t="s">
        <v>531</v>
      </c>
      <c r="D9" s="17" t="s">
        <v>41</v>
      </c>
      <c r="E9" s="17" t="s">
        <v>13</v>
      </c>
      <c r="F9" s="111">
        <v>2.75</v>
      </c>
      <c r="G9" s="6">
        <v>10</v>
      </c>
      <c r="H9" s="116">
        <v>100</v>
      </c>
      <c r="I9" s="17" t="s">
        <v>616</v>
      </c>
      <c r="J9" s="9" t="s">
        <v>619</v>
      </c>
      <c r="K9" s="10">
        <v>3.6363636363636362</v>
      </c>
      <c r="L9" s="10">
        <v>36.363636363636367</v>
      </c>
    </row>
    <row r="10" spans="1:12" ht="15.6" x14ac:dyDescent="0.3">
      <c r="A10" s="6">
        <v>9</v>
      </c>
      <c r="B10" s="6" t="s">
        <v>532</v>
      </c>
      <c r="C10" s="17" t="s">
        <v>533</v>
      </c>
      <c r="D10" s="17" t="s">
        <v>41</v>
      </c>
      <c r="E10" s="17" t="s">
        <v>13</v>
      </c>
      <c r="F10" s="111">
        <v>2.75</v>
      </c>
      <c r="G10" s="6">
        <v>10</v>
      </c>
      <c r="H10" s="116">
        <v>100</v>
      </c>
      <c r="I10" s="17" t="s">
        <v>616</v>
      </c>
      <c r="J10" s="9" t="s">
        <v>619</v>
      </c>
      <c r="K10" s="10">
        <v>3.6363636363636362</v>
      </c>
      <c r="L10" s="10">
        <v>36.363636363636367</v>
      </c>
    </row>
    <row r="11" spans="1:12" ht="15.6" x14ac:dyDescent="0.3">
      <c r="A11" s="6">
        <v>10</v>
      </c>
      <c r="B11" s="6" t="s">
        <v>534</v>
      </c>
      <c r="C11" s="17" t="s">
        <v>535</v>
      </c>
      <c r="D11" s="17" t="s">
        <v>41</v>
      </c>
      <c r="E11" s="17" t="s">
        <v>13</v>
      </c>
      <c r="F11" s="6">
        <v>2.75</v>
      </c>
      <c r="G11" s="6">
        <v>10</v>
      </c>
      <c r="H11" s="6">
        <v>100</v>
      </c>
      <c r="I11" s="17" t="s">
        <v>616</v>
      </c>
      <c r="J11" s="9" t="s">
        <v>619</v>
      </c>
      <c r="K11" s="10">
        <v>3.6363636363636362</v>
      </c>
      <c r="L11" s="10">
        <v>36.363636363636367</v>
      </c>
    </row>
    <row r="12" spans="1:12" ht="15.6" x14ac:dyDescent="0.3">
      <c r="A12" s="6">
        <v>11</v>
      </c>
      <c r="B12" s="6" t="s">
        <v>536</v>
      </c>
      <c r="C12" s="17" t="s">
        <v>537</v>
      </c>
      <c r="D12" s="17" t="s">
        <v>41</v>
      </c>
      <c r="E12" s="17" t="s">
        <v>13</v>
      </c>
      <c r="F12" s="6">
        <v>2.75</v>
      </c>
      <c r="G12" s="6">
        <v>10</v>
      </c>
      <c r="H12" s="6">
        <v>100</v>
      </c>
      <c r="I12" s="17" t="s">
        <v>616</v>
      </c>
      <c r="J12" s="9" t="s">
        <v>619</v>
      </c>
      <c r="K12" s="10">
        <v>3.6363636363636362</v>
      </c>
      <c r="L12" s="10">
        <v>36.363636363636367</v>
      </c>
    </row>
    <row r="13" spans="1:12" ht="15.6" x14ac:dyDescent="0.3">
      <c r="A13" s="6">
        <v>12</v>
      </c>
      <c r="B13" s="6" t="s">
        <v>538</v>
      </c>
      <c r="C13" s="17" t="s">
        <v>539</v>
      </c>
      <c r="D13" s="17" t="s">
        <v>41</v>
      </c>
      <c r="E13" s="17" t="s">
        <v>13</v>
      </c>
      <c r="F13" s="111">
        <v>2.75</v>
      </c>
      <c r="G13" s="6">
        <v>10</v>
      </c>
      <c r="H13" s="6">
        <v>100</v>
      </c>
      <c r="I13" s="17" t="s">
        <v>616</v>
      </c>
      <c r="J13" s="9" t="s">
        <v>619</v>
      </c>
      <c r="K13" s="10">
        <v>3.6363636363636362</v>
      </c>
      <c r="L13" s="10">
        <v>36.363636363636367</v>
      </c>
    </row>
    <row r="14" spans="1:12" ht="15.6" x14ac:dyDescent="0.3">
      <c r="A14" s="6">
        <v>13</v>
      </c>
      <c r="B14" s="6" t="s">
        <v>540</v>
      </c>
      <c r="C14" s="17" t="s">
        <v>541</v>
      </c>
      <c r="D14" s="17" t="s">
        <v>41</v>
      </c>
      <c r="E14" s="17" t="s">
        <v>13</v>
      </c>
      <c r="F14" s="111">
        <v>2.75</v>
      </c>
      <c r="G14" s="6">
        <v>10</v>
      </c>
      <c r="H14" s="116">
        <v>100</v>
      </c>
      <c r="I14" s="17" t="s">
        <v>616</v>
      </c>
      <c r="J14" s="9" t="s">
        <v>619</v>
      </c>
      <c r="K14" s="10">
        <v>3.6363636363636362</v>
      </c>
      <c r="L14" s="10">
        <v>36.363636363636367</v>
      </c>
    </row>
    <row r="15" spans="1:12" ht="15.6" x14ac:dyDescent="0.3">
      <c r="A15" s="6">
        <v>14</v>
      </c>
      <c r="B15" s="6" t="s">
        <v>542</v>
      </c>
      <c r="C15" s="17" t="s">
        <v>543</v>
      </c>
      <c r="D15" s="17" t="s">
        <v>41</v>
      </c>
      <c r="E15" s="17" t="s">
        <v>13</v>
      </c>
      <c r="F15" s="111">
        <v>2.75</v>
      </c>
      <c r="G15" s="6">
        <v>10</v>
      </c>
      <c r="H15" s="116">
        <v>100</v>
      </c>
      <c r="I15" s="17" t="s">
        <v>616</v>
      </c>
      <c r="J15" s="9" t="s">
        <v>619</v>
      </c>
      <c r="K15" s="10">
        <v>3.6363636363636362</v>
      </c>
      <c r="L15" s="10">
        <v>36.363636363636367</v>
      </c>
    </row>
    <row r="16" spans="1:12" ht="15.6" x14ac:dyDescent="0.3">
      <c r="A16" s="6">
        <v>15</v>
      </c>
      <c r="B16" s="6" t="s">
        <v>544</v>
      </c>
      <c r="C16" s="17" t="s">
        <v>545</v>
      </c>
      <c r="D16" s="17" t="s">
        <v>41</v>
      </c>
      <c r="E16" s="17" t="s">
        <v>13</v>
      </c>
      <c r="F16" s="111">
        <v>2.75</v>
      </c>
      <c r="G16" s="6">
        <v>10</v>
      </c>
      <c r="H16" s="116">
        <v>100</v>
      </c>
      <c r="I16" s="17" t="s">
        <v>616</v>
      </c>
      <c r="J16" s="9" t="s">
        <v>619</v>
      </c>
      <c r="K16" s="10">
        <v>3.6363636363636362</v>
      </c>
      <c r="L16" s="10">
        <v>36.363636363636367</v>
      </c>
    </row>
    <row r="17" spans="1:12" ht="15.6" x14ac:dyDescent="0.3">
      <c r="A17" s="6">
        <v>16</v>
      </c>
      <c r="B17" s="6" t="s">
        <v>546</v>
      </c>
      <c r="C17" s="17" t="s">
        <v>547</v>
      </c>
      <c r="D17" s="17" t="s">
        <v>41</v>
      </c>
      <c r="E17" s="17" t="s">
        <v>13</v>
      </c>
      <c r="F17" s="111">
        <v>2.75</v>
      </c>
      <c r="G17" s="6">
        <v>10</v>
      </c>
      <c r="H17" s="116">
        <v>100</v>
      </c>
      <c r="I17" s="17" t="s">
        <v>616</v>
      </c>
      <c r="J17" s="9" t="s">
        <v>619</v>
      </c>
      <c r="K17" s="10">
        <v>3.6363636363636362</v>
      </c>
      <c r="L17" s="10">
        <v>36.363636363636367</v>
      </c>
    </row>
    <row r="18" spans="1:12" ht="15.6" x14ac:dyDescent="0.3">
      <c r="A18" s="6">
        <v>17</v>
      </c>
      <c r="B18" s="6" t="s">
        <v>548</v>
      </c>
      <c r="C18" s="17" t="s">
        <v>549</v>
      </c>
      <c r="D18" s="17" t="s">
        <v>41</v>
      </c>
      <c r="E18" s="17" t="s">
        <v>13</v>
      </c>
      <c r="F18" s="111">
        <v>2.97</v>
      </c>
      <c r="G18" s="6">
        <v>10</v>
      </c>
      <c r="H18" s="116">
        <v>100</v>
      </c>
      <c r="I18" s="17" t="s">
        <v>616</v>
      </c>
      <c r="J18" s="9" t="s">
        <v>619</v>
      </c>
      <c r="K18" s="10">
        <v>3.3670033670033668</v>
      </c>
      <c r="L18" s="10">
        <v>33.670033670033668</v>
      </c>
    </row>
    <row r="19" spans="1:12" ht="15.6" x14ac:dyDescent="0.3">
      <c r="A19" s="6">
        <v>18</v>
      </c>
      <c r="B19" s="6" t="s">
        <v>550</v>
      </c>
      <c r="C19" s="17" t="s">
        <v>551</v>
      </c>
      <c r="D19" s="17" t="s">
        <v>41</v>
      </c>
      <c r="E19" s="17" t="s">
        <v>13</v>
      </c>
      <c r="F19" s="111">
        <v>3</v>
      </c>
      <c r="G19" s="6">
        <v>10</v>
      </c>
      <c r="H19" s="116">
        <v>100</v>
      </c>
      <c r="I19" s="17" t="s">
        <v>616</v>
      </c>
      <c r="J19" s="9" t="s">
        <v>619</v>
      </c>
      <c r="K19" s="10">
        <v>3.3333333333333335</v>
      </c>
      <c r="L19" s="10">
        <v>33.333333333333336</v>
      </c>
    </row>
    <row r="20" spans="1:12" ht="15.6" x14ac:dyDescent="0.3">
      <c r="A20" s="6">
        <v>19</v>
      </c>
      <c r="B20" s="6" t="s">
        <v>552</v>
      </c>
      <c r="C20" s="17" t="s">
        <v>553</v>
      </c>
      <c r="D20" s="17" t="s">
        <v>41</v>
      </c>
      <c r="E20" s="17" t="s">
        <v>13</v>
      </c>
      <c r="F20" s="111">
        <v>3</v>
      </c>
      <c r="G20" s="6">
        <v>10</v>
      </c>
      <c r="H20" s="116">
        <v>100</v>
      </c>
      <c r="I20" s="17" t="s">
        <v>616</v>
      </c>
      <c r="J20" s="9" t="s">
        <v>619</v>
      </c>
      <c r="K20" s="10">
        <v>3.3333333333333335</v>
      </c>
      <c r="L20" s="10">
        <v>33.333333333333336</v>
      </c>
    </row>
    <row r="21" spans="1:12" ht="15.6" x14ac:dyDescent="0.3">
      <c r="A21" s="6">
        <v>20</v>
      </c>
      <c r="B21" s="6" t="s">
        <v>554</v>
      </c>
      <c r="C21" s="17" t="s">
        <v>555</v>
      </c>
      <c r="D21" s="17" t="s">
        <v>41</v>
      </c>
      <c r="E21" s="17" t="s">
        <v>13</v>
      </c>
      <c r="F21" s="111">
        <v>3</v>
      </c>
      <c r="G21" s="6">
        <v>10</v>
      </c>
      <c r="H21" s="116">
        <v>100</v>
      </c>
      <c r="I21" s="17" t="s">
        <v>616</v>
      </c>
      <c r="J21" s="9" t="s">
        <v>619</v>
      </c>
      <c r="K21" s="10">
        <v>3.3333333333333335</v>
      </c>
      <c r="L21" s="10">
        <v>33.333333333333336</v>
      </c>
    </row>
    <row r="22" spans="1:12" ht="15.6" x14ac:dyDescent="0.3">
      <c r="A22" s="6">
        <v>21</v>
      </c>
      <c r="B22" s="6" t="s">
        <v>463</v>
      </c>
      <c r="C22" s="17" t="s">
        <v>464</v>
      </c>
      <c r="D22" s="17" t="s">
        <v>38</v>
      </c>
      <c r="E22" s="17" t="s">
        <v>13</v>
      </c>
      <c r="F22" s="109">
        <v>10</v>
      </c>
      <c r="G22" s="6">
        <v>20</v>
      </c>
      <c r="H22" s="116">
        <v>100</v>
      </c>
      <c r="I22" s="17" t="s">
        <v>39</v>
      </c>
      <c r="J22" s="9" t="s">
        <v>619</v>
      </c>
      <c r="K22" s="10">
        <v>2</v>
      </c>
      <c r="L22" s="10">
        <v>10</v>
      </c>
    </row>
    <row r="23" spans="1:12" ht="15.6" x14ac:dyDescent="0.3">
      <c r="A23" s="6">
        <v>22</v>
      </c>
      <c r="B23" s="6" t="s">
        <v>465</v>
      </c>
      <c r="C23" s="17" t="s">
        <v>466</v>
      </c>
      <c r="D23" s="17" t="s">
        <v>38</v>
      </c>
      <c r="E23" s="17" t="s">
        <v>13</v>
      </c>
      <c r="F23" s="109">
        <v>10</v>
      </c>
      <c r="G23" s="6">
        <v>20</v>
      </c>
      <c r="H23" s="116">
        <v>100</v>
      </c>
      <c r="I23" s="17" t="s">
        <v>39</v>
      </c>
      <c r="J23" s="9" t="s">
        <v>619</v>
      </c>
      <c r="K23" s="10">
        <v>2</v>
      </c>
      <c r="L23" s="10">
        <v>10</v>
      </c>
    </row>
    <row r="24" spans="1:12" ht="15.6" x14ac:dyDescent="0.3">
      <c r="A24" s="6">
        <v>23</v>
      </c>
      <c r="B24" s="6" t="s">
        <v>558</v>
      </c>
      <c r="C24" s="17" t="s">
        <v>559</v>
      </c>
      <c r="D24" s="17" t="s">
        <v>41</v>
      </c>
      <c r="E24" s="17" t="s">
        <v>13</v>
      </c>
      <c r="F24" s="111">
        <v>3.4</v>
      </c>
      <c r="G24" s="6">
        <v>20</v>
      </c>
      <c r="H24" s="116">
        <v>100</v>
      </c>
      <c r="I24" s="17" t="s">
        <v>616</v>
      </c>
      <c r="J24" s="9" t="s">
        <v>619</v>
      </c>
      <c r="K24" s="10">
        <v>5.882352941176471</v>
      </c>
      <c r="L24" s="10">
        <v>29.411764705882355</v>
      </c>
    </row>
    <row r="25" spans="1:12" ht="15.6" x14ac:dyDescent="0.3">
      <c r="A25" s="6">
        <v>24</v>
      </c>
      <c r="B25" s="6" t="s">
        <v>560</v>
      </c>
      <c r="C25" s="17" t="s">
        <v>561</v>
      </c>
      <c r="D25" s="17" t="s">
        <v>41</v>
      </c>
      <c r="E25" s="17" t="s">
        <v>13</v>
      </c>
      <c r="F25" s="111">
        <v>4</v>
      </c>
      <c r="G25" s="6">
        <v>20</v>
      </c>
      <c r="H25" s="116">
        <v>100</v>
      </c>
      <c r="I25" s="17" t="s">
        <v>616</v>
      </c>
      <c r="J25" s="9" t="s">
        <v>619</v>
      </c>
      <c r="K25" s="10">
        <v>5</v>
      </c>
      <c r="L25" s="10">
        <v>25</v>
      </c>
    </row>
    <row r="26" spans="1:12" ht="15.6" x14ac:dyDescent="0.3">
      <c r="A26" s="6">
        <v>25</v>
      </c>
      <c r="B26" s="6" t="s">
        <v>562</v>
      </c>
      <c r="C26" s="17" t="s">
        <v>563</v>
      </c>
      <c r="D26" s="17" t="s">
        <v>41</v>
      </c>
      <c r="E26" s="17" t="s">
        <v>13</v>
      </c>
      <c r="F26" s="111">
        <v>4.5</v>
      </c>
      <c r="G26" s="6">
        <v>20</v>
      </c>
      <c r="H26" s="116">
        <v>100</v>
      </c>
      <c r="I26" s="17" t="s">
        <v>616</v>
      </c>
      <c r="J26" s="9" t="s">
        <v>619</v>
      </c>
      <c r="K26" s="10">
        <v>4.4444444444444446</v>
      </c>
      <c r="L26" s="10">
        <v>22.222222222222221</v>
      </c>
    </row>
    <row r="27" spans="1:12" ht="15.6" x14ac:dyDescent="0.3">
      <c r="A27" s="6">
        <v>26</v>
      </c>
      <c r="B27" s="6" t="s">
        <v>564</v>
      </c>
      <c r="C27" s="17" t="s">
        <v>564</v>
      </c>
      <c r="D27" s="17" t="s">
        <v>41</v>
      </c>
      <c r="E27" s="17" t="s">
        <v>13</v>
      </c>
      <c r="F27" s="111">
        <v>5</v>
      </c>
      <c r="G27" s="6">
        <v>20</v>
      </c>
      <c r="H27" s="116">
        <v>100</v>
      </c>
      <c r="I27" s="17" t="s">
        <v>616</v>
      </c>
      <c r="J27" s="9" t="s">
        <v>619</v>
      </c>
      <c r="K27" s="10">
        <v>4</v>
      </c>
      <c r="L27" s="10">
        <v>20</v>
      </c>
    </row>
    <row r="28" spans="1:12" ht="15.6" x14ac:dyDescent="0.3">
      <c r="A28" s="6">
        <v>27</v>
      </c>
      <c r="B28" s="6" t="s">
        <v>565</v>
      </c>
      <c r="C28" s="17" t="s">
        <v>566</v>
      </c>
      <c r="D28" s="17" t="s">
        <v>41</v>
      </c>
      <c r="E28" s="17" t="s">
        <v>13</v>
      </c>
      <c r="F28" s="111">
        <v>5</v>
      </c>
      <c r="G28" s="6">
        <v>20</v>
      </c>
      <c r="H28" s="116">
        <v>100</v>
      </c>
      <c r="I28" s="17" t="s">
        <v>616</v>
      </c>
      <c r="J28" s="9" t="s">
        <v>619</v>
      </c>
      <c r="K28" s="10">
        <v>4</v>
      </c>
      <c r="L28" s="10">
        <v>20</v>
      </c>
    </row>
    <row r="29" spans="1:12" ht="15.6" x14ac:dyDescent="0.3">
      <c r="A29" s="6">
        <v>28</v>
      </c>
      <c r="B29" s="6" t="s">
        <v>574</v>
      </c>
      <c r="C29" s="17" t="s">
        <v>575</v>
      </c>
      <c r="D29" s="17" t="s">
        <v>41</v>
      </c>
      <c r="E29" s="17" t="s">
        <v>13</v>
      </c>
      <c r="F29" s="111">
        <v>5.4</v>
      </c>
      <c r="G29" s="6">
        <v>20</v>
      </c>
      <c r="H29" s="116">
        <v>100</v>
      </c>
      <c r="I29" s="17" t="s">
        <v>616</v>
      </c>
      <c r="J29" s="9" t="s">
        <v>619</v>
      </c>
      <c r="K29" s="10">
        <v>3.7037037037037033</v>
      </c>
      <c r="L29" s="10">
        <v>18.518518518518519</v>
      </c>
    </row>
    <row r="30" spans="1:12" ht="15.6" x14ac:dyDescent="0.3">
      <c r="A30" s="6">
        <v>29</v>
      </c>
      <c r="B30" s="112" t="s">
        <v>567</v>
      </c>
      <c r="C30" s="113" t="s">
        <v>568</v>
      </c>
      <c r="D30" s="114" t="s">
        <v>569</v>
      </c>
      <c r="E30" s="17" t="s">
        <v>13</v>
      </c>
      <c r="F30" s="115">
        <v>6.5</v>
      </c>
      <c r="G30" s="6">
        <v>25</v>
      </c>
      <c r="H30" s="118">
        <v>100</v>
      </c>
      <c r="I30" s="17" t="s">
        <v>616</v>
      </c>
      <c r="J30" s="9" t="s">
        <v>619</v>
      </c>
      <c r="K30" s="10">
        <v>3.8461538461538463</v>
      </c>
      <c r="L30" s="10">
        <v>15.384615384615385</v>
      </c>
    </row>
    <row r="31" spans="1:12" ht="15.6" x14ac:dyDescent="0.3">
      <c r="A31" s="6">
        <v>30</v>
      </c>
      <c r="B31" s="112" t="s">
        <v>570</v>
      </c>
      <c r="C31" s="113" t="s">
        <v>571</v>
      </c>
      <c r="D31" s="114" t="s">
        <v>569</v>
      </c>
      <c r="E31" s="17" t="s">
        <v>13</v>
      </c>
      <c r="F31" s="115">
        <v>6.5</v>
      </c>
      <c r="G31" s="6">
        <v>25</v>
      </c>
      <c r="H31" s="118">
        <v>100</v>
      </c>
      <c r="I31" s="17" t="s">
        <v>616</v>
      </c>
      <c r="J31" s="9" t="s">
        <v>619</v>
      </c>
      <c r="K31" s="10">
        <v>3.8461538461538463</v>
      </c>
      <c r="L31" s="10">
        <v>15.384615384615385</v>
      </c>
    </row>
    <row r="32" spans="1:12" ht="15.6" x14ac:dyDescent="0.3">
      <c r="A32" s="6">
        <v>31</v>
      </c>
      <c r="B32" s="112" t="s">
        <v>572</v>
      </c>
      <c r="C32" s="113" t="s">
        <v>573</v>
      </c>
      <c r="D32" s="114" t="s">
        <v>569</v>
      </c>
      <c r="E32" s="17" t="s">
        <v>13</v>
      </c>
      <c r="F32" s="115">
        <v>6.5</v>
      </c>
      <c r="G32" s="6">
        <v>25</v>
      </c>
      <c r="H32" s="118">
        <v>100</v>
      </c>
      <c r="I32" s="17" t="s">
        <v>616</v>
      </c>
      <c r="J32" s="9" t="s">
        <v>619</v>
      </c>
      <c r="K32" s="10">
        <v>3.8461538461538463</v>
      </c>
      <c r="L32" s="10">
        <v>15.384615384615385</v>
      </c>
    </row>
    <row r="33" spans="1:12" ht="15.6" x14ac:dyDescent="0.3">
      <c r="A33" s="6">
        <v>32</v>
      </c>
      <c r="B33" s="6" t="s">
        <v>519</v>
      </c>
      <c r="C33" s="17" t="s">
        <v>520</v>
      </c>
      <c r="D33" s="17" t="s">
        <v>38</v>
      </c>
      <c r="E33" s="17" t="s">
        <v>13</v>
      </c>
      <c r="F33" s="109">
        <v>10</v>
      </c>
      <c r="G33" s="6">
        <v>30</v>
      </c>
      <c r="H33" s="116">
        <v>100</v>
      </c>
      <c r="I33" s="17" t="s">
        <v>39</v>
      </c>
      <c r="J33" s="9" t="s">
        <v>619</v>
      </c>
      <c r="K33" s="10">
        <v>3</v>
      </c>
      <c r="L33" s="10">
        <v>10</v>
      </c>
    </row>
    <row r="34" spans="1:12" ht="15.6" x14ac:dyDescent="0.3">
      <c r="A34" s="6">
        <v>33</v>
      </c>
      <c r="B34" s="6" t="s">
        <v>521</v>
      </c>
      <c r="C34" s="17" t="s">
        <v>522</v>
      </c>
      <c r="D34" s="17" t="s">
        <v>38</v>
      </c>
      <c r="E34" s="17" t="s">
        <v>13</v>
      </c>
      <c r="F34" s="109">
        <v>10</v>
      </c>
      <c r="G34" s="6">
        <v>30</v>
      </c>
      <c r="H34" s="116">
        <v>100</v>
      </c>
      <c r="I34" s="17" t="s">
        <v>39</v>
      </c>
      <c r="J34" s="9" t="s">
        <v>619</v>
      </c>
      <c r="K34" s="10">
        <v>3</v>
      </c>
      <c r="L34" s="10">
        <v>10</v>
      </c>
    </row>
    <row r="35" spans="1:12" ht="15.6" x14ac:dyDescent="0.3">
      <c r="A35" s="6">
        <v>34</v>
      </c>
      <c r="B35" s="6" t="s">
        <v>576</v>
      </c>
      <c r="C35" s="17" t="s">
        <v>577</v>
      </c>
      <c r="D35" s="17" t="s">
        <v>41</v>
      </c>
      <c r="E35" s="17" t="s">
        <v>13</v>
      </c>
      <c r="F35" s="111">
        <v>8.82</v>
      </c>
      <c r="G35" s="6">
        <v>35</v>
      </c>
      <c r="H35" s="6">
        <v>200</v>
      </c>
      <c r="I35" s="17" t="s">
        <v>616</v>
      </c>
      <c r="J35" s="9" t="s">
        <v>619</v>
      </c>
      <c r="K35" s="10">
        <v>3.9682539682539679</v>
      </c>
      <c r="L35" s="10">
        <v>22.675736961451246</v>
      </c>
    </row>
    <row r="36" spans="1:12" ht="15.6" x14ac:dyDescent="0.3">
      <c r="A36" s="6">
        <v>35</v>
      </c>
      <c r="B36" s="6" t="s">
        <v>590</v>
      </c>
      <c r="C36" s="17" t="s">
        <v>591</v>
      </c>
      <c r="D36" s="17" t="s">
        <v>41</v>
      </c>
      <c r="E36" s="17" t="s">
        <v>13</v>
      </c>
      <c r="F36" s="111">
        <v>9.49</v>
      </c>
      <c r="G36" s="6">
        <v>35</v>
      </c>
      <c r="H36" s="6">
        <v>200</v>
      </c>
      <c r="I36" s="17" t="s">
        <v>616</v>
      </c>
      <c r="J36" s="9" t="s">
        <v>619</v>
      </c>
      <c r="K36" s="10">
        <v>3.6880927291886194</v>
      </c>
      <c r="L36" s="10">
        <v>21.074815595363539</v>
      </c>
    </row>
    <row r="37" spans="1:12" ht="15.6" x14ac:dyDescent="0.3">
      <c r="A37" s="6">
        <v>36</v>
      </c>
      <c r="B37" s="6" t="s">
        <v>592</v>
      </c>
      <c r="C37" s="17" t="s">
        <v>593</v>
      </c>
      <c r="D37" s="17" t="s">
        <v>41</v>
      </c>
      <c r="E37" s="17" t="s">
        <v>13</v>
      </c>
      <c r="F37" s="109">
        <v>13</v>
      </c>
      <c r="G37" s="6">
        <v>40</v>
      </c>
      <c r="H37" s="6">
        <v>200</v>
      </c>
      <c r="I37" s="17" t="s">
        <v>616</v>
      </c>
      <c r="J37" s="9" t="s">
        <v>619</v>
      </c>
      <c r="K37" s="10">
        <v>3.0769230769230771</v>
      </c>
      <c r="L37" s="10">
        <v>15.384615384615385</v>
      </c>
    </row>
    <row r="38" spans="1:12" ht="15.6" x14ac:dyDescent="0.3">
      <c r="A38" s="6">
        <v>37</v>
      </c>
      <c r="B38" s="6" t="s">
        <v>596</v>
      </c>
      <c r="C38" s="17" t="s">
        <v>597</v>
      </c>
      <c r="D38" s="17" t="s">
        <v>41</v>
      </c>
      <c r="E38" s="17" t="s">
        <v>13</v>
      </c>
      <c r="F38" s="109">
        <v>15</v>
      </c>
      <c r="G38" s="6">
        <v>45</v>
      </c>
      <c r="H38" s="6">
        <v>200</v>
      </c>
      <c r="I38" s="17" t="s">
        <v>616</v>
      </c>
      <c r="J38" s="9" t="s">
        <v>619</v>
      </c>
      <c r="K38" s="10">
        <v>3</v>
      </c>
      <c r="L38" s="10">
        <v>13.333333333333334</v>
      </c>
    </row>
    <row r="39" spans="1:12" ht="15.6" x14ac:dyDescent="0.3">
      <c r="A39" s="6">
        <v>38</v>
      </c>
      <c r="B39" s="6" t="s">
        <v>598</v>
      </c>
      <c r="C39" s="17" t="s">
        <v>599</v>
      </c>
      <c r="D39" s="17" t="s">
        <v>41</v>
      </c>
      <c r="E39" s="17" t="s">
        <v>13</v>
      </c>
      <c r="F39" s="109">
        <v>15.004</v>
      </c>
      <c r="G39" s="6">
        <v>45</v>
      </c>
      <c r="H39" s="6">
        <v>200</v>
      </c>
      <c r="I39" s="17" t="s">
        <v>616</v>
      </c>
      <c r="J39" s="9" t="s">
        <v>619</v>
      </c>
      <c r="K39" s="10">
        <v>2.9992002132764597</v>
      </c>
      <c r="L39" s="10">
        <v>13.329778725673155</v>
      </c>
    </row>
    <row r="40" spans="1:12" ht="15.6" x14ac:dyDescent="0.3">
      <c r="A40" s="6">
        <v>39</v>
      </c>
      <c r="B40" s="6" t="s">
        <v>491</v>
      </c>
      <c r="C40" s="17" t="s">
        <v>492</v>
      </c>
      <c r="D40" s="17" t="s">
        <v>493</v>
      </c>
      <c r="E40" s="17" t="s">
        <v>30</v>
      </c>
      <c r="F40" s="109">
        <v>20</v>
      </c>
      <c r="G40" s="6">
        <v>50</v>
      </c>
      <c r="H40" s="6">
        <v>300</v>
      </c>
      <c r="I40" s="17" t="s">
        <v>615</v>
      </c>
      <c r="J40" s="9" t="s">
        <v>619</v>
      </c>
      <c r="K40" s="10">
        <v>2.5</v>
      </c>
      <c r="L40" s="10">
        <v>15</v>
      </c>
    </row>
    <row r="41" spans="1:12" ht="15.6" x14ac:dyDescent="0.3">
      <c r="A41" s="6">
        <v>40</v>
      </c>
      <c r="B41" s="6" t="s">
        <v>594</v>
      </c>
      <c r="C41" s="17" t="s">
        <v>595</v>
      </c>
      <c r="D41" s="17" t="s">
        <v>41</v>
      </c>
      <c r="E41" s="17" t="s">
        <v>13</v>
      </c>
      <c r="F41" s="109">
        <v>13.2</v>
      </c>
      <c r="G41" s="6">
        <v>50</v>
      </c>
      <c r="H41" s="6">
        <v>200</v>
      </c>
      <c r="I41" s="17" t="s">
        <v>616</v>
      </c>
      <c r="J41" s="9" t="s">
        <v>619</v>
      </c>
      <c r="K41" s="10">
        <v>3.7878787878787881</v>
      </c>
      <c r="L41" s="10">
        <v>15.151515151515152</v>
      </c>
    </row>
    <row r="42" spans="1:12" ht="15.6" x14ac:dyDescent="0.3">
      <c r="A42" s="6">
        <v>41</v>
      </c>
      <c r="B42" s="6" t="s">
        <v>602</v>
      </c>
      <c r="C42" s="17" t="s">
        <v>603</v>
      </c>
      <c r="D42" s="17" t="s">
        <v>41</v>
      </c>
      <c r="E42" s="17" t="s">
        <v>13</v>
      </c>
      <c r="F42" s="109">
        <v>17.2</v>
      </c>
      <c r="G42" s="6">
        <v>50</v>
      </c>
      <c r="H42" s="6">
        <v>200</v>
      </c>
      <c r="I42" s="17" t="s">
        <v>616</v>
      </c>
      <c r="J42" s="9" t="s">
        <v>619</v>
      </c>
      <c r="K42" s="10">
        <v>2.9069767441860468</v>
      </c>
      <c r="L42" s="10">
        <v>11.627906976744187</v>
      </c>
    </row>
    <row r="43" spans="1:12" ht="15.6" x14ac:dyDescent="0.3">
      <c r="A43" s="6">
        <v>42</v>
      </c>
      <c r="B43" s="6" t="s">
        <v>525</v>
      </c>
      <c r="C43" s="17" t="s">
        <v>526</v>
      </c>
      <c r="D43" s="17" t="s">
        <v>527</v>
      </c>
      <c r="E43" s="17" t="s">
        <v>13</v>
      </c>
      <c r="F43" s="109">
        <v>20</v>
      </c>
      <c r="G43" s="6">
        <v>60</v>
      </c>
      <c r="H43" s="6">
        <v>300</v>
      </c>
      <c r="I43" s="17" t="s">
        <v>617</v>
      </c>
      <c r="J43" s="9" t="s">
        <v>619</v>
      </c>
      <c r="K43" s="10">
        <v>3</v>
      </c>
      <c r="L43" s="10">
        <v>15</v>
      </c>
    </row>
    <row r="44" spans="1:12" ht="15.6" x14ac:dyDescent="0.3">
      <c r="A44" s="6">
        <v>43</v>
      </c>
      <c r="B44" s="6" t="s">
        <v>600</v>
      </c>
      <c r="C44" s="17" t="s">
        <v>601</v>
      </c>
      <c r="D44" s="17" t="s">
        <v>41</v>
      </c>
      <c r="E44" s="17" t="s">
        <v>13</v>
      </c>
      <c r="F44" s="109">
        <v>15.87</v>
      </c>
      <c r="G44" s="6">
        <v>60</v>
      </c>
      <c r="H44" s="6">
        <v>200</v>
      </c>
      <c r="I44" s="17" t="s">
        <v>616</v>
      </c>
      <c r="J44" s="9" t="s">
        <v>619</v>
      </c>
      <c r="K44" s="10">
        <v>3.7807183364839321</v>
      </c>
      <c r="L44" s="10">
        <v>12.60239445494644</v>
      </c>
    </row>
    <row r="45" spans="1:12" ht="15.6" x14ac:dyDescent="0.3">
      <c r="A45" s="6">
        <v>44</v>
      </c>
      <c r="B45" s="6" t="s">
        <v>606</v>
      </c>
      <c r="C45" s="17" t="s">
        <v>607</v>
      </c>
      <c r="D45" s="17" t="s">
        <v>41</v>
      </c>
      <c r="E45" s="17" t="s">
        <v>13</v>
      </c>
      <c r="F45" s="109">
        <v>22.96</v>
      </c>
      <c r="G45" s="6">
        <v>65</v>
      </c>
      <c r="H45" s="6">
        <v>300</v>
      </c>
      <c r="I45" s="17" t="s">
        <v>616</v>
      </c>
      <c r="J45" s="9" t="s">
        <v>619</v>
      </c>
      <c r="K45" s="10">
        <v>2.8310104529616722</v>
      </c>
      <c r="L45" s="10">
        <v>13.066202090592334</v>
      </c>
    </row>
    <row r="46" spans="1:12" ht="15.6" x14ac:dyDescent="0.3">
      <c r="A46" s="6">
        <v>45</v>
      </c>
      <c r="B46" s="6" t="s">
        <v>604</v>
      </c>
      <c r="C46" s="17" t="s">
        <v>605</v>
      </c>
      <c r="D46" s="17" t="s">
        <v>41</v>
      </c>
      <c r="E46" s="17" t="s">
        <v>13</v>
      </c>
      <c r="F46" s="109">
        <v>21.11</v>
      </c>
      <c r="G46" s="6">
        <v>70</v>
      </c>
      <c r="H46" s="119">
        <v>200</v>
      </c>
      <c r="I46" s="17" t="s">
        <v>616</v>
      </c>
      <c r="J46" s="9" t="s">
        <v>619</v>
      </c>
      <c r="K46" s="10">
        <v>3.3159639981051634</v>
      </c>
      <c r="L46" s="10">
        <v>9.4741828517290383</v>
      </c>
    </row>
    <row r="47" spans="1:12" ht="15.6" x14ac:dyDescent="0.3">
      <c r="A47" s="6">
        <v>46</v>
      </c>
      <c r="B47" s="6" t="s">
        <v>588</v>
      </c>
      <c r="C47" s="17" t="s">
        <v>589</v>
      </c>
      <c r="D47" s="17" t="s">
        <v>38</v>
      </c>
      <c r="E47" s="17" t="s">
        <v>13</v>
      </c>
      <c r="F47" s="109">
        <v>16.600000000000001</v>
      </c>
      <c r="G47" s="6">
        <v>75</v>
      </c>
      <c r="H47" s="6">
        <v>200</v>
      </c>
      <c r="I47" s="17" t="s">
        <v>39</v>
      </c>
      <c r="J47" s="9" t="s">
        <v>619</v>
      </c>
      <c r="K47" s="10">
        <v>4.5180722891566258</v>
      </c>
      <c r="L47" s="10">
        <v>12.048192771084336</v>
      </c>
    </row>
    <row r="48" spans="1:12" ht="15.6" x14ac:dyDescent="0.3">
      <c r="A48" s="6">
        <v>47</v>
      </c>
      <c r="B48" s="6" t="s">
        <v>460</v>
      </c>
      <c r="C48" s="17" t="s">
        <v>461</v>
      </c>
      <c r="D48" s="110" t="s">
        <v>462</v>
      </c>
      <c r="E48" s="17" t="s">
        <v>453</v>
      </c>
      <c r="F48" s="109">
        <v>45</v>
      </c>
      <c r="G48" s="6">
        <v>80</v>
      </c>
      <c r="H48" s="6">
        <v>300</v>
      </c>
      <c r="I48" s="17" t="s">
        <v>614</v>
      </c>
      <c r="J48" s="9" t="s">
        <v>619</v>
      </c>
      <c r="K48" s="10">
        <v>1.7777777777777777</v>
      </c>
      <c r="L48" s="10">
        <v>6.666666666666667</v>
      </c>
    </row>
    <row r="49" spans="1:12" ht="15.6" x14ac:dyDescent="0.3">
      <c r="A49" s="6">
        <v>48</v>
      </c>
      <c r="B49" s="6" t="s">
        <v>489</v>
      </c>
      <c r="C49" s="17" t="s">
        <v>490</v>
      </c>
      <c r="D49" s="17" t="s">
        <v>38</v>
      </c>
      <c r="E49" s="17" t="s">
        <v>13</v>
      </c>
      <c r="F49" s="109">
        <v>33</v>
      </c>
      <c r="G49" s="6">
        <v>80</v>
      </c>
      <c r="H49" s="6">
        <v>400</v>
      </c>
      <c r="I49" s="17" t="s">
        <v>39</v>
      </c>
      <c r="J49" s="9" t="s">
        <v>619</v>
      </c>
      <c r="K49" s="10">
        <v>2.4242424242424243</v>
      </c>
      <c r="L49" s="10">
        <v>12.121212121212121</v>
      </c>
    </row>
    <row r="50" spans="1:12" ht="15.6" x14ac:dyDescent="0.3">
      <c r="A50" s="6">
        <v>49</v>
      </c>
      <c r="B50" s="6" t="s">
        <v>582</v>
      </c>
      <c r="C50" s="17" t="s">
        <v>583</v>
      </c>
      <c r="D50" s="17" t="s">
        <v>38</v>
      </c>
      <c r="E50" s="17" t="s">
        <v>13</v>
      </c>
      <c r="F50" s="109">
        <v>19.440000000000001</v>
      </c>
      <c r="G50" s="6">
        <v>80</v>
      </c>
      <c r="H50" s="6">
        <v>250</v>
      </c>
      <c r="I50" s="17" t="s">
        <v>39</v>
      </c>
      <c r="J50" s="9" t="s">
        <v>619</v>
      </c>
      <c r="K50" s="10">
        <v>4.1152263374485596</v>
      </c>
      <c r="L50" s="10">
        <v>12.860082304526749</v>
      </c>
    </row>
    <row r="51" spans="1:12" ht="15.6" x14ac:dyDescent="0.3">
      <c r="A51" s="6">
        <v>50</v>
      </c>
      <c r="B51" s="6" t="s">
        <v>584</v>
      </c>
      <c r="C51" s="17" t="s">
        <v>585</v>
      </c>
      <c r="D51" s="17" t="s">
        <v>38</v>
      </c>
      <c r="E51" s="17" t="s">
        <v>13</v>
      </c>
      <c r="F51" s="109">
        <v>19.440000000000001</v>
      </c>
      <c r="G51" s="6">
        <v>80</v>
      </c>
      <c r="H51" s="6">
        <v>250</v>
      </c>
      <c r="I51" s="17" t="s">
        <v>39</v>
      </c>
      <c r="J51" s="9" t="s">
        <v>619</v>
      </c>
      <c r="K51" s="10">
        <v>4.1152263374485596</v>
      </c>
      <c r="L51" s="10">
        <v>12.860082304526749</v>
      </c>
    </row>
    <row r="52" spans="1:12" ht="15.6" x14ac:dyDescent="0.3">
      <c r="A52" s="6">
        <v>51</v>
      </c>
      <c r="B52" s="6" t="s">
        <v>586</v>
      </c>
      <c r="C52" s="17" t="s">
        <v>587</v>
      </c>
      <c r="D52" s="17" t="s">
        <v>38</v>
      </c>
      <c r="E52" s="17" t="s">
        <v>13</v>
      </c>
      <c r="F52" s="109">
        <v>19.440000000000001</v>
      </c>
      <c r="G52" s="6">
        <v>80</v>
      </c>
      <c r="H52" s="6">
        <v>250</v>
      </c>
      <c r="I52" s="17" t="s">
        <v>39</v>
      </c>
      <c r="J52" s="9" t="s">
        <v>619</v>
      </c>
      <c r="K52" s="10">
        <v>4.1152263374485596</v>
      </c>
      <c r="L52" s="10">
        <v>12.860082304526749</v>
      </c>
    </row>
    <row r="53" spans="1:12" ht="15.6" x14ac:dyDescent="0.3">
      <c r="A53" s="6">
        <v>52</v>
      </c>
      <c r="B53" s="6" t="s">
        <v>578</v>
      </c>
      <c r="C53" s="17" t="s">
        <v>579</v>
      </c>
      <c r="D53" s="17" t="s">
        <v>38</v>
      </c>
      <c r="E53" s="17" t="s">
        <v>13</v>
      </c>
      <c r="F53" s="109">
        <v>21</v>
      </c>
      <c r="G53" s="6">
        <v>85</v>
      </c>
      <c r="H53" s="6">
        <v>300</v>
      </c>
      <c r="I53" s="17" t="s">
        <v>39</v>
      </c>
      <c r="J53" s="9" t="s">
        <v>619</v>
      </c>
      <c r="K53" s="10">
        <v>4.0476190476190474</v>
      </c>
      <c r="L53" s="10">
        <v>14.285714285714286</v>
      </c>
    </row>
    <row r="54" spans="1:12" ht="15.6" x14ac:dyDescent="0.3">
      <c r="A54" s="6">
        <v>53</v>
      </c>
      <c r="B54" s="6" t="s">
        <v>481</v>
      </c>
      <c r="C54" s="17" t="s">
        <v>482</v>
      </c>
      <c r="D54" s="17" t="s">
        <v>38</v>
      </c>
      <c r="E54" s="17" t="s">
        <v>13</v>
      </c>
      <c r="F54" s="109">
        <v>40</v>
      </c>
      <c r="G54" s="6">
        <v>90</v>
      </c>
      <c r="H54" s="6">
        <v>300</v>
      </c>
      <c r="I54" s="17" t="s">
        <v>39</v>
      </c>
      <c r="J54" s="9" t="s">
        <v>619</v>
      </c>
      <c r="K54" s="10">
        <v>2.25</v>
      </c>
      <c r="L54" s="10">
        <v>7.5</v>
      </c>
    </row>
    <row r="55" spans="1:12" ht="15.6" x14ac:dyDescent="0.3">
      <c r="A55" s="6">
        <v>54</v>
      </c>
      <c r="B55" s="6" t="s">
        <v>580</v>
      </c>
      <c r="C55" s="17" t="s">
        <v>581</v>
      </c>
      <c r="D55" s="17" t="s">
        <v>38</v>
      </c>
      <c r="E55" s="17" t="s">
        <v>13</v>
      </c>
      <c r="F55" s="109">
        <v>22</v>
      </c>
      <c r="G55" s="6">
        <v>90</v>
      </c>
      <c r="H55" s="6">
        <v>300</v>
      </c>
      <c r="I55" s="17" t="s">
        <v>39</v>
      </c>
      <c r="J55" s="9" t="s">
        <v>619</v>
      </c>
      <c r="K55" s="10">
        <v>4.0909090909090908</v>
      </c>
      <c r="L55" s="10">
        <v>13.636363636363637</v>
      </c>
    </row>
    <row r="56" spans="1:12" ht="15.6" x14ac:dyDescent="0.3">
      <c r="A56" s="6">
        <v>55</v>
      </c>
      <c r="B56" s="6" t="s">
        <v>608</v>
      </c>
      <c r="C56" s="17" t="s">
        <v>609</v>
      </c>
      <c r="D56" s="17" t="s">
        <v>41</v>
      </c>
      <c r="E56" s="17" t="s">
        <v>13</v>
      </c>
      <c r="F56" s="109">
        <v>29.17</v>
      </c>
      <c r="G56" s="6">
        <v>90</v>
      </c>
      <c r="H56" s="119">
        <v>300</v>
      </c>
      <c r="I56" s="17" t="s">
        <v>618</v>
      </c>
      <c r="J56" s="9" t="s">
        <v>619</v>
      </c>
      <c r="K56" s="10">
        <v>3.0853616729516626</v>
      </c>
      <c r="L56" s="10">
        <v>10.284538909838876</v>
      </c>
    </row>
    <row r="57" spans="1:12" ht="15.6" x14ac:dyDescent="0.3">
      <c r="A57" s="6">
        <v>56</v>
      </c>
      <c r="B57" s="6" t="s">
        <v>556</v>
      </c>
      <c r="C57" s="17" t="s">
        <v>557</v>
      </c>
      <c r="D57" s="17" t="s">
        <v>38</v>
      </c>
      <c r="E57" s="17" t="s">
        <v>13</v>
      </c>
      <c r="F57" s="109">
        <v>30</v>
      </c>
      <c r="G57" s="6">
        <v>95</v>
      </c>
      <c r="H57" s="6">
        <v>400</v>
      </c>
      <c r="I57" s="17" t="s">
        <v>39</v>
      </c>
      <c r="J57" s="9" t="s">
        <v>619</v>
      </c>
      <c r="K57" s="10">
        <v>3.1666666666666665</v>
      </c>
      <c r="L57" s="10">
        <v>13.333333333333334</v>
      </c>
    </row>
    <row r="58" spans="1:12" ht="15.6" x14ac:dyDescent="0.3">
      <c r="A58" s="6">
        <v>57</v>
      </c>
      <c r="B58" s="6" t="s">
        <v>471</v>
      </c>
      <c r="C58" s="17" t="s">
        <v>472</v>
      </c>
      <c r="D58" s="17" t="s">
        <v>38</v>
      </c>
      <c r="E58" s="17" t="s">
        <v>13</v>
      </c>
      <c r="F58" s="109">
        <v>48</v>
      </c>
      <c r="G58" s="6">
        <v>100</v>
      </c>
      <c r="H58" s="6">
        <v>400</v>
      </c>
      <c r="I58" s="17" t="s">
        <v>39</v>
      </c>
      <c r="J58" s="9" t="s">
        <v>619</v>
      </c>
      <c r="K58" s="10">
        <v>2.0833333333333335</v>
      </c>
      <c r="L58" s="10">
        <v>8.3333333333333339</v>
      </c>
    </row>
    <row r="59" spans="1:12" ht="15.6" x14ac:dyDescent="0.3">
      <c r="A59" s="6">
        <v>58</v>
      </c>
      <c r="B59" s="6" t="s">
        <v>499</v>
      </c>
      <c r="C59" s="17" t="s">
        <v>500</v>
      </c>
      <c r="D59" s="17" t="s">
        <v>38</v>
      </c>
      <c r="E59" s="17" t="s">
        <v>13</v>
      </c>
      <c r="F59" s="109">
        <v>39</v>
      </c>
      <c r="G59" s="6">
        <v>100</v>
      </c>
      <c r="H59" s="117">
        <v>300</v>
      </c>
      <c r="I59" s="17" t="s">
        <v>39</v>
      </c>
      <c r="J59" s="9" t="s">
        <v>619</v>
      </c>
      <c r="K59" s="10">
        <v>2.5641025641025643</v>
      </c>
      <c r="L59" s="10">
        <v>7.6923076923076925</v>
      </c>
    </row>
    <row r="60" spans="1:12" ht="15.6" x14ac:dyDescent="0.3">
      <c r="A60" s="6">
        <v>59</v>
      </c>
      <c r="B60" s="6" t="s">
        <v>477</v>
      </c>
      <c r="C60" s="17" t="s">
        <v>478</v>
      </c>
      <c r="D60" s="17" t="s">
        <v>38</v>
      </c>
      <c r="E60" s="17" t="s">
        <v>13</v>
      </c>
      <c r="F60" s="109">
        <v>47</v>
      </c>
      <c r="G60" s="6">
        <v>105</v>
      </c>
      <c r="H60" s="6">
        <v>600</v>
      </c>
      <c r="I60" s="17" t="s">
        <v>39</v>
      </c>
      <c r="J60" s="9" t="s">
        <v>619</v>
      </c>
      <c r="K60" s="10">
        <v>2.2340425531914891</v>
      </c>
      <c r="L60" s="10">
        <v>12.76595744680851</v>
      </c>
    </row>
    <row r="61" spans="1:12" ht="15.6" x14ac:dyDescent="0.3">
      <c r="A61" s="6">
        <v>60</v>
      </c>
      <c r="B61" s="6" t="s">
        <v>528</v>
      </c>
      <c r="C61" s="17" t="s">
        <v>529</v>
      </c>
      <c r="D61" s="17" t="s">
        <v>38</v>
      </c>
      <c r="E61" s="17" t="s">
        <v>13</v>
      </c>
      <c r="F61" s="109">
        <v>35</v>
      </c>
      <c r="G61" s="6">
        <v>105</v>
      </c>
      <c r="H61" s="6">
        <v>300</v>
      </c>
      <c r="I61" s="17" t="s">
        <v>39</v>
      </c>
      <c r="J61" s="9" t="s">
        <v>619</v>
      </c>
      <c r="K61" s="10">
        <v>3</v>
      </c>
      <c r="L61" s="10">
        <v>8.5714285714285712</v>
      </c>
    </row>
    <row r="62" spans="1:12" ht="15.6" x14ac:dyDescent="0.3">
      <c r="A62" s="6">
        <v>61</v>
      </c>
      <c r="B62" s="6" t="s">
        <v>508</v>
      </c>
      <c r="C62" s="17" t="s">
        <v>508</v>
      </c>
      <c r="D62" s="17" t="s">
        <v>38</v>
      </c>
      <c r="E62" s="17" t="s">
        <v>13</v>
      </c>
      <c r="F62" s="109">
        <v>42</v>
      </c>
      <c r="G62" s="6">
        <v>115</v>
      </c>
      <c r="H62" s="6">
        <v>550</v>
      </c>
      <c r="I62" s="17" t="s">
        <v>39</v>
      </c>
      <c r="J62" s="9" t="s">
        <v>619</v>
      </c>
      <c r="K62" s="10">
        <v>2.7380952380952381</v>
      </c>
      <c r="L62" s="10">
        <v>13.095238095238095</v>
      </c>
    </row>
    <row r="63" spans="1:12" ht="15.6" x14ac:dyDescent="0.3">
      <c r="A63" s="6">
        <v>62</v>
      </c>
      <c r="B63" s="6" t="s">
        <v>509</v>
      </c>
      <c r="C63" s="17" t="s">
        <v>510</v>
      </c>
      <c r="D63" s="17" t="s">
        <v>38</v>
      </c>
      <c r="E63" s="17" t="s">
        <v>13</v>
      </c>
      <c r="F63" s="109">
        <v>42</v>
      </c>
      <c r="G63" s="6">
        <v>115</v>
      </c>
      <c r="H63" s="6">
        <v>550</v>
      </c>
      <c r="I63" s="17" t="s">
        <v>39</v>
      </c>
      <c r="J63" s="9" t="s">
        <v>619</v>
      </c>
      <c r="K63" s="10">
        <v>2.7380952380952381</v>
      </c>
      <c r="L63" s="10">
        <v>13.095238095238095</v>
      </c>
    </row>
    <row r="64" spans="1:12" ht="15.6" x14ac:dyDescent="0.3">
      <c r="A64" s="6">
        <v>63</v>
      </c>
      <c r="B64" s="6" t="s">
        <v>511</v>
      </c>
      <c r="C64" s="17" t="s">
        <v>512</v>
      </c>
      <c r="D64" s="17" t="s">
        <v>38</v>
      </c>
      <c r="E64" s="17" t="s">
        <v>13</v>
      </c>
      <c r="F64" s="109">
        <v>42</v>
      </c>
      <c r="G64" s="6">
        <v>115</v>
      </c>
      <c r="H64" s="6">
        <v>300</v>
      </c>
      <c r="I64" s="17" t="s">
        <v>39</v>
      </c>
      <c r="J64" s="9" t="s">
        <v>619</v>
      </c>
      <c r="K64" s="10">
        <v>2.7380952380952381</v>
      </c>
      <c r="L64" s="10">
        <v>7.1428571428571432</v>
      </c>
    </row>
    <row r="65" spans="1:12" ht="15.6" x14ac:dyDescent="0.3">
      <c r="A65" s="6">
        <v>64</v>
      </c>
      <c r="B65" s="6" t="s">
        <v>506</v>
      </c>
      <c r="C65" s="17" t="s">
        <v>507</v>
      </c>
      <c r="D65" s="17" t="s">
        <v>38</v>
      </c>
      <c r="E65" s="17" t="s">
        <v>13</v>
      </c>
      <c r="F65" s="109">
        <v>44</v>
      </c>
      <c r="G65" s="6">
        <v>120</v>
      </c>
      <c r="H65" s="6">
        <v>300</v>
      </c>
      <c r="I65" s="17" t="s">
        <v>39</v>
      </c>
      <c r="J65" s="9" t="s">
        <v>619</v>
      </c>
      <c r="K65" s="10">
        <v>2.7272727272727271</v>
      </c>
      <c r="L65" s="10">
        <v>6.8181818181818183</v>
      </c>
    </row>
    <row r="66" spans="1:12" ht="15.6" x14ac:dyDescent="0.3">
      <c r="A66" s="6">
        <v>65</v>
      </c>
      <c r="B66" s="6" t="s">
        <v>40</v>
      </c>
      <c r="C66" s="17" t="s">
        <v>494</v>
      </c>
      <c r="D66" s="17" t="s">
        <v>38</v>
      </c>
      <c r="E66" s="17" t="s">
        <v>13</v>
      </c>
      <c r="F66" s="109">
        <v>52</v>
      </c>
      <c r="G66" s="6">
        <v>130</v>
      </c>
      <c r="H66" s="6">
        <v>500</v>
      </c>
      <c r="I66" s="17" t="s">
        <v>39</v>
      </c>
      <c r="J66" s="9" t="s">
        <v>619</v>
      </c>
      <c r="K66" s="10">
        <v>2.5</v>
      </c>
      <c r="L66" s="10">
        <v>9.615384615384615</v>
      </c>
    </row>
    <row r="67" spans="1:12" ht="15.6" x14ac:dyDescent="0.3">
      <c r="A67" s="6">
        <v>66</v>
      </c>
      <c r="B67" s="6" t="s">
        <v>495</v>
      </c>
      <c r="C67" s="17" t="s">
        <v>496</v>
      </c>
      <c r="D67" s="17" t="s">
        <v>38</v>
      </c>
      <c r="E67" s="17" t="s">
        <v>13</v>
      </c>
      <c r="F67" s="109">
        <v>52</v>
      </c>
      <c r="G67" s="6">
        <v>130</v>
      </c>
      <c r="H67" s="6">
        <v>500</v>
      </c>
      <c r="I67" s="17" t="s">
        <v>39</v>
      </c>
      <c r="J67" s="9" t="s">
        <v>619</v>
      </c>
      <c r="K67" s="10">
        <v>2.5</v>
      </c>
      <c r="L67" s="10">
        <v>9.615384615384615</v>
      </c>
    </row>
    <row r="68" spans="1:12" ht="15.6" x14ac:dyDescent="0.3">
      <c r="A68" s="6">
        <v>67</v>
      </c>
      <c r="B68" s="6" t="s">
        <v>501</v>
      </c>
      <c r="C68" s="17" t="s">
        <v>502</v>
      </c>
      <c r="D68" s="17" t="s">
        <v>38</v>
      </c>
      <c r="E68" s="17" t="s">
        <v>13</v>
      </c>
      <c r="F68" s="109">
        <v>50</v>
      </c>
      <c r="G68" s="6">
        <v>130</v>
      </c>
      <c r="H68" s="6">
        <v>450</v>
      </c>
      <c r="I68" s="17" t="s">
        <v>39</v>
      </c>
      <c r="J68" s="9" t="s">
        <v>619</v>
      </c>
      <c r="K68" s="10">
        <v>2.6</v>
      </c>
      <c r="L68" s="10">
        <v>9</v>
      </c>
    </row>
    <row r="69" spans="1:12" ht="15.6" x14ac:dyDescent="0.3">
      <c r="A69" s="6">
        <v>68</v>
      </c>
      <c r="B69" s="6" t="s">
        <v>610</v>
      </c>
      <c r="C69" s="17" t="s">
        <v>611</v>
      </c>
      <c r="D69" s="17" t="s">
        <v>41</v>
      </c>
      <c r="E69" s="17" t="s">
        <v>13</v>
      </c>
      <c r="F69" s="109">
        <v>54.45</v>
      </c>
      <c r="G69" s="6">
        <v>145</v>
      </c>
      <c r="H69" s="119">
        <v>300</v>
      </c>
      <c r="I69" s="17" t="s">
        <v>618</v>
      </c>
      <c r="J69" s="9" t="s">
        <v>619</v>
      </c>
      <c r="K69" s="10">
        <v>2.6629935720844808</v>
      </c>
      <c r="L69" s="10">
        <v>5.5096418732782366</v>
      </c>
    </row>
    <row r="70" spans="1:12" ht="15.6" x14ac:dyDescent="0.3">
      <c r="A70" s="6">
        <v>69</v>
      </c>
      <c r="B70" s="6" t="s">
        <v>483</v>
      </c>
      <c r="C70" s="17" t="s">
        <v>484</v>
      </c>
      <c r="D70" s="17" t="s">
        <v>38</v>
      </c>
      <c r="E70" s="17" t="s">
        <v>13</v>
      </c>
      <c r="F70" s="109">
        <v>65</v>
      </c>
      <c r="G70" s="6">
        <v>150</v>
      </c>
      <c r="H70" s="6">
        <v>600</v>
      </c>
      <c r="I70" s="17" t="s">
        <v>39</v>
      </c>
      <c r="J70" s="9" t="s">
        <v>619</v>
      </c>
      <c r="K70" s="10">
        <v>2.3076923076923075</v>
      </c>
      <c r="L70" s="10">
        <v>9.2307692307692299</v>
      </c>
    </row>
    <row r="71" spans="1:12" ht="15.6" x14ac:dyDescent="0.3">
      <c r="A71" s="6">
        <v>70</v>
      </c>
      <c r="B71" s="6" t="s">
        <v>479</v>
      </c>
      <c r="C71" s="17" t="s">
        <v>480</v>
      </c>
      <c r="D71" s="17" t="s">
        <v>38</v>
      </c>
      <c r="E71" s="17" t="s">
        <v>13</v>
      </c>
      <c r="F71" s="109">
        <v>69</v>
      </c>
      <c r="G71" s="6">
        <v>155</v>
      </c>
      <c r="H71" s="6">
        <v>450</v>
      </c>
      <c r="I71" s="17" t="s">
        <v>39</v>
      </c>
      <c r="J71" s="9" t="s">
        <v>619</v>
      </c>
      <c r="K71" s="10">
        <v>2.2463768115942031</v>
      </c>
      <c r="L71" s="10">
        <v>6.5217391304347823</v>
      </c>
    </row>
    <row r="72" spans="1:12" ht="15.6" x14ac:dyDescent="0.3">
      <c r="A72" s="6">
        <v>71</v>
      </c>
      <c r="B72" s="6" t="s">
        <v>485</v>
      </c>
      <c r="C72" s="17" t="s">
        <v>486</v>
      </c>
      <c r="D72" s="17" t="s">
        <v>38</v>
      </c>
      <c r="E72" s="17" t="s">
        <v>13</v>
      </c>
      <c r="F72" s="109">
        <v>67</v>
      </c>
      <c r="G72" s="6">
        <v>160</v>
      </c>
      <c r="H72" s="6">
        <v>450</v>
      </c>
      <c r="I72" s="17" t="s">
        <v>39</v>
      </c>
      <c r="J72" s="9" t="s">
        <v>619</v>
      </c>
      <c r="K72" s="10">
        <v>2.3880597014925371</v>
      </c>
      <c r="L72" s="10">
        <v>6.7164179104477615</v>
      </c>
    </row>
    <row r="73" spans="1:12" ht="15.6" x14ac:dyDescent="0.3">
      <c r="A73" s="6">
        <v>72</v>
      </c>
      <c r="B73" s="6" t="s">
        <v>487</v>
      </c>
      <c r="C73" s="17" t="s">
        <v>488</v>
      </c>
      <c r="D73" s="17" t="s">
        <v>38</v>
      </c>
      <c r="E73" s="17" t="s">
        <v>13</v>
      </c>
      <c r="F73" s="109">
        <v>67</v>
      </c>
      <c r="G73" s="6">
        <v>160</v>
      </c>
      <c r="H73" s="6">
        <v>450</v>
      </c>
      <c r="I73" s="17" t="s">
        <v>39</v>
      </c>
      <c r="J73" s="9" t="s">
        <v>619</v>
      </c>
      <c r="K73" s="10">
        <v>2.3880597014925371</v>
      </c>
      <c r="L73" s="10">
        <v>6.7164179104477615</v>
      </c>
    </row>
    <row r="74" spans="1:12" ht="15.6" x14ac:dyDescent="0.3">
      <c r="A74" s="6">
        <v>73</v>
      </c>
      <c r="B74" s="6" t="s">
        <v>473</v>
      </c>
      <c r="C74" s="17" t="s">
        <v>474</v>
      </c>
      <c r="D74" s="17" t="s">
        <v>38</v>
      </c>
      <c r="E74" s="17" t="s">
        <v>13</v>
      </c>
      <c r="F74" s="109">
        <v>83</v>
      </c>
      <c r="G74" s="6">
        <v>180</v>
      </c>
      <c r="H74" s="6">
        <v>500</v>
      </c>
      <c r="I74" s="17" t="s">
        <v>39</v>
      </c>
      <c r="J74" s="9" t="s">
        <v>619</v>
      </c>
      <c r="K74" s="10">
        <v>2.1686746987951806</v>
      </c>
      <c r="L74" s="10">
        <v>6.024096385542169</v>
      </c>
    </row>
    <row r="75" spans="1:12" ht="15.6" x14ac:dyDescent="0.3">
      <c r="A75" s="6">
        <v>74</v>
      </c>
      <c r="B75" s="6" t="s">
        <v>475</v>
      </c>
      <c r="C75" s="17" t="s">
        <v>476</v>
      </c>
      <c r="D75" s="17" t="s">
        <v>38</v>
      </c>
      <c r="E75" s="17" t="s">
        <v>13</v>
      </c>
      <c r="F75" s="109">
        <v>83</v>
      </c>
      <c r="G75" s="6">
        <v>180</v>
      </c>
      <c r="H75" s="6">
        <v>500</v>
      </c>
      <c r="I75" s="17" t="s">
        <v>39</v>
      </c>
      <c r="J75" s="9" t="s">
        <v>619</v>
      </c>
      <c r="K75" s="10">
        <v>2.1686746987951806</v>
      </c>
      <c r="L75" s="10">
        <v>6.024096385542169</v>
      </c>
    </row>
    <row r="76" spans="1:12" ht="15.6" x14ac:dyDescent="0.3">
      <c r="A76" s="6">
        <v>75</v>
      </c>
      <c r="B76" s="6" t="s">
        <v>469</v>
      </c>
      <c r="C76" s="17" t="s">
        <v>470</v>
      </c>
      <c r="D76" s="17" t="s">
        <v>38</v>
      </c>
      <c r="E76" s="17" t="s">
        <v>13</v>
      </c>
      <c r="F76" s="109">
        <v>92</v>
      </c>
      <c r="G76" s="6">
        <v>190</v>
      </c>
      <c r="H76" s="6">
        <v>600</v>
      </c>
      <c r="I76" s="17" t="s">
        <v>39</v>
      </c>
      <c r="J76" s="9" t="s">
        <v>619</v>
      </c>
      <c r="K76" s="10">
        <v>2.0652173913043477</v>
      </c>
      <c r="L76" s="10">
        <v>6.5217391304347823</v>
      </c>
    </row>
    <row r="77" spans="1:12" ht="15.6" x14ac:dyDescent="0.3">
      <c r="A77" s="6">
        <v>76</v>
      </c>
      <c r="B77" s="6" t="s">
        <v>467</v>
      </c>
      <c r="C77" s="17" t="s">
        <v>468</v>
      </c>
      <c r="D77" s="17" t="s">
        <v>38</v>
      </c>
      <c r="E77" s="17" t="s">
        <v>13</v>
      </c>
      <c r="F77" s="109">
        <v>102</v>
      </c>
      <c r="G77" s="6">
        <v>205</v>
      </c>
      <c r="H77" s="6">
        <v>650</v>
      </c>
      <c r="I77" s="17" t="s">
        <v>39</v>
      </c>
      <c r="J77" s="9" t="s">
        <v>619</v>
      </c>
      <c r="K77" s="10">
        <v>2.0098039215686274</v>
      </c>
      <c r="L77" s="10">
        <v>6.3725490196078427</v>
      </c>
    </row>
    <row r="78" spans="1:12" ht="15.6" x14ac:dyDescent="0.3">
      <c r="A78" s="6">
        <v>77</v>
      </c>
      <c r="B78" s="6" t="s">
        <v>612</v>
      </c>
      <c r="C78" s="17" t="s">
        <v>613</v>
      </c>
      <c r="D78" s="17" t="s">
        <v>41</v>
      </c>
      <c r="E78" s="17" t="s">
        <v>13</v>
      </c>
      <c r="F78" s="109">
        <v>81.510000000000005</v>
      </c>
      <c r="G78" s="6">
        <v>205</v>
      </c>
      <c r="H78" s="119">
        <v>500</v>
      </c>
      <c r="I78" s="17" t="s">
        <v>618</v>
      </c>
      <c r="J78" s="9" t="s">
        <v>619</v>
      </c>
      <c r="K78" s="10">
        <v>2.5150288308183044</v>
      </c>
      <c r="L78" s="10">
        <v>6.1342166605324495</v>
      </c>
    </row>
    <row r="79" spans="1:12" ht="15.6" x14ac:dyDescent="0.3">
      <c r="A79" s="6">
        <v>78</v>
      </c>
      <c r="B79" s="6" t="s">
        <v>458</v>
      </c>
      <c r="C79" s="17" t="s">
        <v>459</v>
      </c>
      <c r="D79" s="17" t="s">
        <v>38</v>
      </c>
      <c r="E79" s="17" t="s">
        <v>13</v>
      </c>
      <c r="F79" s="109">
        <v>156</v>
      </c>
      <c r="G79" s="6">
        <v>250</v>
      </c>
      <c r="H79" s="6">
        <v>750</v>
      </c>
      <c r="I79" s="17" t="s">
        <v>39</v>
      </c>
      <c r="J79" s="9" t="s">
        <v>619</v>
      </c>
      <c r="K79" s="10">
        <v>1.6025641025641026</v>
      </c>
      <c r="L79" s="10">
        <v>4.8076923076923075</v>
      </c>
    </row>
    <row r="80" spans="1:12" ht="15.6" x14ac:dyDescent="0.3">
      <c r="A80" s="6">
        <v>79</v>
      </c>
      <c r="B80" s="6" t="s">
        <v>648</v>
      </c>
      <c r="C80" s="135" t="s">
        <v>649</v>
      </c>
      <c r="D80" s="17" t="s">
        <v>650</v>
      </c>
      <c r="E80" s="17" t="s">
        <v>30</v>
      </c>
      <c r="G80" s="19">
        <v>50</v>
      </c>
      <c r="H80" s="19">
        <v>100</v>
      </c>
      <c r="I80" s="17" t="s">
        <v>651</v>
      </c>
      <c r="J80" s="9" t="s">
        <v>652</v>
      </c>
    </row>
  </sheetData>
  <sortState xmlns:xlrd2="http://schemas.microsoft.com/office/spreadsheetml/2017/richdata2" ref="A2:L79">
    <sortCondition ref="G2:G79"/>
  </sortState>
  <conditionalFormatting sqref="B1:B79">
    <cfRule type="duplicateValues" dxfId="3" priority="2"/>
  </conditionalFormatting>
  <conditionalFormatting sqref="B80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447F-A466-4D2E-92C0-948F941D5F86}">
  <dimension ref="A1:F19"/>
  <sheetViews>
    <sheetView tabSelected="1" workbookViewId="0">
      <selection activeCell="C22" sqref="C22"/>
    </sheetView>
  </sheetViews>
  <sheetFormatPr defaultRowHeight="14.4" x14ac:dyDescent="0.3"/>
  <cols>
    <col min="2" max="2" width="40.5546875" bestFit="1" customWidth="1"/>
    <col min="3" max="3" width="51.77734375" bestFit="1" customWidth="1"/>
    <col min="4" max="4" width="0" hidden="1" customWidth="1"/>
  </cols>
  <sheetData>
    <row r="1" spans="1:6" ht="15.6" x14ac:dyDescent="0.3">
      <c r="A1" s="120" t="s">
        <v>620</v>
      </c>
      <c r="B1" s="121" t="s">
        <v>339</v>
      </c>
      <c r="C1" s="122" t="s">
        <v>621</v>
      </c>
      <c r="D1" s="123" t="s">
        <v>4</v>
      </c>
      <c r="E1" s="123" t="s">
        <v>5</v>
      </c>
      <c r="F1" s="123" t="s">
        <v>6</v>
      </c>
    </row>
    <row r="2" spans="1:6" ht="15.6" x14ac:dyDescent="0.3">
      <c r="A2" s="124">
        <v>1</v>
      </c>
      <c r="B2" s="125" t="s">
        <v>622</v>
      </c>
      <c r="C2" s="126" t="s">
        <v>623</v>
      </c>
      <c r="D2" s="127">
        <v>81</v>
      </c>
      <c r="E2" s="127">
        <v>250</v>
      </c>
      <c r="F2" s="127">
        <v>800</v>
      </c>
    </row>
    <row r="3" spans="1:6" ht="15.6" x14ac:dyDescent="0.3">
      <c r="A3" s="124">
        <v>2</v>
      </c>
      <c r="B3" s="125" t="s">
        <v>624</v>
      </c>
      <c r="C3" s="126" t="s">
        <v>625</v>
      </c>
      <c r="D3" s="127">
        <v>152</v>
      </c>
      <c r="E3" s="127">
        <v>500</v>
      </c>
      <c r="F3" s="127">
        <v>1500</v>
      </c>
    </row>
    <row r="4" spans="1:6" ht="15.6" x14ac:dyDescent="0.3">
      <c r="A4" s="127">
        <v>3</v>
      </c>
      <c r="B4" s="125" t="s">
        <v>626</v>
      </c>
      <c r="C4" s="126" t="s">
        <v>627</v>
      </c>
      <c r="D4" s="127">
        <v>307</v>
      </c>
      <c r="E4" s="127">
        <v>900</v>
      </c>
      <c r="F4" s="127">
        <v>3000</v>
      </c>
    </row>
    <row r="5" spans="1:6" ht="15.6" x14ac:dyDescent="0.3">
      <c r="A5" s="124">
        <v>4</v>
      </c>
      <c r="B5" s="125" t="s">
        <v>628</v>
      </c>
      <c r="C5" s="126" t="s">
        <v>629</v>
      </c>
      <c r="D5" s="127">
        <v>364</v>
      </c>
      <c r="E5" s="127">
        <v>1100</v>
      </c>
      <c r="F5" s="127">
        <v>3600</v>
      </c>
    </row>
    <row r="6" spans="1:6" ht="15.6" x14ac:dyDescent="0.3">
      <c r="A6" s="124">
        <v>5</v>
      </c>
      <c r="B6" s="125" t="s">
        <v>630</v>
      </c>
      <c r="C6" s="126" t="s">
        <v>631</v>
      </c>
      <c r="D6" s="127">
        <v>619</v>
      </c>
      <c r="E6" s="127">
        <v>1600</v>
      </c>
      <c r="F6" s="127">
        <v>6000</v>
      </c>
    </row>
    <row r="7" spans="1:6" ht="15.6" x14ac:dyDescent="0.3">
      <c r="A7" s="130"/>
      <c r="B7" s="131"/>
      <c r="C7" s="131"/>
      <c r="D7" s="131"/>
      <c r="E7" s="131"/>
      <c r="F7" s="132"/>
    </row>
    <row r="8" spans="1:6" ht="15.6" x14ac:dyDescent="0.3">
      <c r="A8" s="127">
        <v>6</v>
      </c>
      <c r="B8" s="125" t="s">
        <v>632</v>
      </c>
      <c r="C8" s="126" t="s">
        <v>633</v>
      </c>
      <c r="D8" s="127">
        <v>12</v>
      </c>
      <c r="E8" s="127">
        <v>40</v>
      </c>
      <c r="F8" s="127">
        <v>250</v>
      </c>
    </row>
    <row r="9" spans="1:6" ht="15.6" x14ac:dyDescent="0.3">
      <c r="A9" s="127">
        <v>7</v>
      </c>
      <c r="B9" s="125" t="s">
        <v>634</v>
      </c>
      <c r="C9" s="126" t="s">
        <v>635</v>
      </c>
      <c r="D9" s="127">
        <v>22</v>
      </c>
      <c r="E9" s="127">
        <v>70</v>
      </c>
      <c r="F9" s="127">
        <v>300</v>
      </c>
    </row>
    <row r="10" spans="1:6" ht="15.6" x14ac:dyDescent="0.3">
      <c r="A10" s="127">
        <v>8</v>
      </c>
      <c r="B10" s="125" t="s">
        <v>636</v>
      </c>
      <c r="C10" s="126" t="s">
        <v>637</v>
      </c>
      <c r="D10" s="127">
        <v>13</v>
      </c>
      <c r="E10" s="127">
        <v>40</v>
      </c>
      <c r="F10" s="127">
        <v>250</v>
      </c>
    </row>
    <row r="11" spans="1:6" ht="15.6" x14ac:dyDescent="0.3">
      <c r="A11" s="127">
        <v>9</v>
      </c>
      <c r="B11" s="125" t="s">
        <v>638</v>
      </c>
      <c r="C11" s="126" t="s">
        <v>639</v>
      </c>
      <c r="D11" s="127">
        <v>18</v>
      </c>
      <c r="E11" s="127">
        <v>60</v>
      </c>
      <c r="F11" s="127">
        <v>300</v>
      </c>
    </row>
    <row r="12" spans="1:6" ht="15.6" x14ac:dyDescent="0.3">
      <c r="A12" s="130"/>
      <c r="B12" s="131"/>
      <c r="C12" s="131"/>
      <c r="D12" s="131"/>
      <c r="E12" s="131"/>
      <c r="F12" s="132"/>
    </row>
    <row r="13" spans="1:6" ht="15.6" x14ac:dyDescent="0.3">
      <c r="A13" s="127">
        <v>10</v>
      </c>
      <c r="B13" s="125" t="s">
        <v>640</v>
      </c>
      <c r="C13" s="128" t="s">
        <v>641</v>
      </c>
      <c r="D13" s="129">
        <v>22</v>
      </c>
      <c r="E13" s="127">
        <v>100</v>
      </c>
      <c r="F13" s="127">
        <v>500</v>
      </c>
    </row>
    <row r="14" spans="1:6" ht="15.6" x14ac:dyDescent="0.3">
      <c r="A14" s="127">
        <v>11</v>
      </c>
      <c r="B14" s="125" t="s">
        <v>642</v>
      </c>
      <c r="C14" s="126" t="s">
        <v>643</v>
      </c>
      <c r="D14" s="127">
        <v>30</v>
      </c>
      <c r="E14" s="127">
        <v>50</v>
      </c>
      <c r="F14" s="127">
        <v>300</v>
      </c>
    </row>
    <row r="15" spans="1:6" ht="15.6" x14ac:dyDescent="0.3">
      <c r="A15" s="127">
        <v>12</v>
      </c>
      <c r="B15" s="125" t="s">
        <v>644</v>
      </c>
      <c r="C15" s="126" t="s">
        <v>645</v>
      </c>
      <c r="D15" s="127">
        <v>81</v>
      </c>
      <c r="E15" s="127">
        <v>180</v>
      </c>
      <c r="F15" s="127">
        <v>800</v>
      </c>
    </row>
    <row r="16" spans="1:6" ht="15.6" x14ac:dyDescent="0.3">
      <c r="A16" s="127">
        <v>13</v>
      </c>
      <c r="B16" s="125" t="s">
        <v>646</v>
      </c>
      <c r="C16" s="126" t="s">
        <v>647</v>
      </c>
      <c r="D16" s="127">
        <v>50</v>
      </c>
      <c r="E16" s="127">
        <v>90</v>
      </c>
      <c r="F16" s="127">
        <v>500</v>
      </c>
    </row>
    <row r="17" spans="1:6" ht="15.6" x14ac:dyDescent="0.3">
      <c r="A17" s="134">
        <v>14</v>
      </c>
      <c r="B17" s="133" t="s">
        <v>392</v>
      </c>
      <c r="C17" s="133" t="s">
        <v>374</v>
      </c>
      <c r="D17" s="135"/>
      <c r="E17" s="15">
        <v>800</v>
      </c>
      <c r="F17" s="15">
        <v>1600</v>
      </c>
    </row>
    <row r="18" spans="1:6" ht="15.6" x14ac:dyDescent="0.3">
      <c r="A18" s="134">
        <v>15</v>
      </c>
      <c r="B18" s="8" t="s">
        <v>368</v>
      </c>
      <c r="C18" s="31" t="s">
        <v>369</v>
      </c>
      <c r="D18" s="135"/>
      <c r="E18" s="15">
        <v>400</v>
      </c>
      <c r="F18" s="15">
        <v>800</v>
      </c>
    </row>
    <row r="19" spans="1:6" ht="15.6" x14ac:dyDescent="0.3">
      <c r="A19" s="134">
        <v>16</v>
      </c>
      <c r="B19" s="8" t="s">
        <v>393</v>
      </c>
      <c r="C19" s="31" t="s">
        <v>396</v>
      </c>
      <c r="D19" s="135"/>
      <c r="E19" s="15">
        <v>600</v>
      </c>
      <c r="F19" s="15">
        <v>1000</v>
      </c>
    </row>
  </sheetData>
  <mergeCells count="2">
    <mergeCell ref="A7:F7"/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0306-8F9E-4165-9853-64BE4D271DE7}">
  <dimension ref="A1:P148"/>
  <sheetViews>
    <sheetView workbookViewId="0">
      <pane ySplit="1" topLeftCell="A2" activePane="bottomLeft" state="frozen"/>
      <selection pane="bottomLeft" activeCell="A148" sqref="A148"/>
    </sheetView>
  </sheetViews>
  <sheetFormatPr defaultRowHeight="14.4" x14ac:dyDescent="0.3"/>
  <cols>
    <col min="1" max="1" width="9.109375" style="22"/>
    <col min="2" max="2" width="9.5546875" style="22" bestFit="1" customWidth="1"/>
    <col min="3" max="3" width="27.88671875" style="40" customWidth="1"/>
    <col min="4" max="4" width="13.44140625" customWidth="1"/>
    <col min="5" max="5" width="9.44140625" customWidth="1"/>
    <col min="6" max="6" width="15.33203125" bestFit="1" customWidth="1"/>
    <col min="7" max="7" width="9.109375" style="22" customWidth="1"/>
    <col min="8" max="8" width="12" style="22" customWidth="1"/>
    <col min="9" max="9" width="9.109375" style="22" customWidth="1"/>
    <col min="10" max="10" width="9.109375" style="40" customWidth="1"/>
    <col min="11" max="13" width="9.109375" style="22" customWidth="1"/>
    <col min="14" max="14" width="10.21875" bestFit="1" customWidth="1"/>
  </cols>
  <sheetData>
    <row r="1" spans="1:16" ht="15.6" x14ac:dyDescent="0.3">
      <c r="A1" s="1" t="s">
        <v>0</v>
      </c>
      <c r="B1" s="1" t="s">
        <v>1</v>
      </c>
      <c r="C1" s="2" t="s">
        <v>2</v>
      </c>
      <c r="D1" s="2" t="s">
        <v>33</v>
      </c>
      <c r="E1" s="2" t="s">
        <v>3</v>
      </c>
      <c r="F1" s="2" t="s">
        <v>376</v>
      </c>
      <c r="G1" s="1" t="s">
        <v>4</v>
      </c>
      <c r="H1" s="1" t="s">
        <v>5</v>
      </c>
      <c r="I1" s="1" t="s">
        <v>6</v>
      </c>
      <c r="J1" s="2" t="s">
        <v>34</v>
      </c>
      <c r="K1" s="4" t="s">
        <v>9</v>
      </c>
      <c r="L1" s="4" t="s">
        <v>7</v>
      </c>
      <c r="M1" s="4" t="s">
        <v>8</v>
      </c>
      <c r="N1" s="4" t="s">
        <v>35</v>
      </c>
      <c r="O1" s="4" t="s">
        <v>36</v>
      </c>
      <c r="P1" s="4" t="s">
        <v>37</v>
      </c>
    </row>
    <row r="2" spans="1:16" ht="15.6" x14ac:dyDescent="0.3">
      <c r="A2" s="6">
        <v>1</v>
      </c>
      <c r="B2" s="7" t="s">
        <v>69</v>
      </c>
      <c r="C2" s="8" t="s">
        <v>70</v>
      </c>
      <c r="D2" s="17" t="s">
        <v>38</v>
      </c>
      <c r="E2" s="17" t="s">
        <v>13</v>
      </c>
      <c r="F2" s="17" t="s">
        <v>377</v>
      </c>
      <c r="G2" s="21">
        <v>29</v>
      </c>
      <c r="H2" s="20">
        <v>100</v>
      </c>
      <c r="I2" s="20">
        <v>300</v>
      </c>
      <c r="J2" s="17" t="s">
        <v>68</v>
      </c>
      <c r="K2" s="9" t="s">
        <v>14</v>
      </c>
      <c r="L2" s="10">
        <f t="shared" ref="L2:L33" si="0">H2/G2</f>
        <v>3.4482758620689653</v>
      </c>
      <c r="M2" s="10">
        <f t="shared" ref="M2:M33" si="1">I2/G2</f>
        <v>10.344827586206897</v>
      </c>
      <c r="N2" s="19">
        <f t="shared" ref="N2:N33" si="2">I2-H2</f>
        <v>200</v>
      </c>
      <c r="O2" s="19">
        <f t="shared" ref="O2:O33" si="3">N2/2</f>
        <v>100</v>
      </c>
      <c r="P2" s="19">
        <f t="shared" ref="P2:P33" si="4">O2</f>
        <v>100</v>
      </c>
    </row>
    <row r="3" spans="1:16" ht="15.6" x14ac:dyDescent="0.3">
      <c r="A3" s="6">
        <v>2</v>
      </c>
      <c r="B3" s="7" t="s">
        <v>71</v>
      </c>
      <c r="C3" s="8" t="s">
        <v>72</v>
      </c>
      <c r="D3" s="17" t="s">
        <v>38</v>
      </c>
      <c r="E3" s="17" t="s">
        <v>13</v>
      </c>
      <c r="F3" s="17" t="s">
        <v>377</v>
      </c>
      <c r="G3" s="23">
        <v>29</v>
      </c>
      <c r="H3" s="20">
        <v>100</v>
      </c>
      <c r="I3" s="20">
        <v>300</v>
      </c>
      <c r="J3" s="17" t="s">
        <v>68</v>
      </c>
      <c r="K3" s="9" t="s">
        <v>14</v>
      </c>
      <c r="L3" s="10">
        <f t="shared" si="0"/>
        <v>3.4482758620689653</v>
      </c>
      <c r="M3" s="10">
        <f t="shared" si="1"/>
        <v>10.344827586206897</v>
      </c>
      <c r="N3" s="19">
        <f t="shared" si="2"/>
        <v>200</v>
      </c>
      <c r="O3" s="19">
        <f t="shared" si="3"/>
        <v>100</v>
      </c>
      <c r="P3" s="19">
        <f t="shared" si="4"/>
        <v>100</v>
      </c>
    </row>
    <row r="4" spans="1:16" ht="15.6" x14ac:dyDescent="0.3">
      <c r="A4" s="6">
        <v>3</v>
      </c>
      <c r="B4" s="7" t="s">
        <v>73</v>
      </c>
      <c r="C4" s="8" t="s">
        <v>74</v>
      </c>
      <c r="D4" s="17" t="s">
        <v>38</v>
      </c>
      <c r="E4" s="17" t="s">
        <v>13</v>
      </c>
      <c r="F4" s="17" t="s">
        <v>377</v>
      </c>
      <c r="G4" s="23">
        <v>29</v>
      </c>
      <c r="H4" s="20">
        <v>100</v>
      </c>
      <c r="I4" s="20">
        <v>300</v>
      </c>
      <c r="J4" s="17" t="s">
        <v>68</v>
      </c>
      <c r="K4" s="9" t="s">
        <v>14</v>
      </c>
      <c r="L4" s="10">
        <f t="shared" si="0"/>
        <v>3.4482758620689653</v>
      </c>
      <c r="M4" s="10">
        <f t="shared" si="1"/>
        <v>10.344827586206897</v>
      </c>
      <c r="N4" s="19">
        <f t="shared" si="2"/>
        <v>200</v>
      </c>
      <c r="O4" s="19">
        <f t="shared" si="3"/>
        <v>100</v>
      </c>
      <c r="P4" s="19">
        <f t="shared" si="4"/>
        <v>100</v>
      </c>
    </row>
    <row r="5" spans="1:16" ht="15.6" x14ac:dyDescent="0.3">
      <c r="A5" s="6">
        <v>4</v>
      </c>
      <c r="B5" s="7" t="s">
        <v>75</v>
      </c>
      <c r="C5" s="8" t="s">
        <v>76</v>
      </c>
      <c r="D5" s="17" t="s">
        <v>38</v>
      </c>
      <c r="E5" s="17" t="s">
        <v>13</v>
      </c>
      <c r="F5" s="17" t="s">
        <v>377</v>
      </c>
      <c r="G5" s="23">
        <v>29</v>
      </c>
      <c r="H5" s="20">
        <v>100</v>
      </c>
      <c r="I5" s="20">
        <v>300</v>
      </c>
      <c r="J5" s="17" t="s">
        <v>68</v>
      </c>
      <c r="K5" s="9" t="s">
        <v>14</v>
      </c>
      <c r="L5" s="10">
        <f t="shared" si="0"/>
        <v>3.4482758620689653</v>
      </c>
      <c r="M5" s="10">
        <f t="shared" si="1"/>
        <v>10.344827586206897</v>
      </c>
      <c r="N5" s="19">
        <f t="shared" si="2"/>
        <v>200</v>
      </c>
      <c r="O5" s="19">
        <f t="shared" si="3"/>
        <v>100</v>
      </c>
      <c r="P5" s="19">
        <f t="shared" si="4"/>
        <v>100</v>
      </c>
    </row>
    <row r="6" spans="1:16" ht="15.6" x14ac:dyDescent="0.3">
      <c r="A6" s="6">
        <v>5</v>
      </c>
      <c r="B6" s="7" t="s">
        <v>77</v>
      </c>
      <c r="C6" s="8" t="s">
        <v>78</v>
      </c>
      <c r="D6" s="17" t="s">
        <v>38</v>
      </c>
      <c r="E6" s="17" t="s">
        <v>13</v>
      </c>
      <c r="F6" s="17" t="s">
        <v>377</v>
      </c>
      <c r="G6" s="23">
        <v>29</v>
      </c>
      <c r="H6" s="20">
        <v>100</v>
      </c>
      <c r="I6" s="20">
        <v>300</v>
      </c>
      <c r="J6" s="17" t="s">
        <v>68</v>
      </c>
      <c r="K6" s="9" t="s">
        <v>14</v>
      </c>
      <c r="L6" s="10">
        <f t="shared" si="0"/>
        <v>3.4482758620689653</v>
      </c>
      <c r="M6" s="10">
        <f t="shared" si="1"/>
        <v>10.344827586206897</v>
      </c>
      <c r="N6" s="19">
        <f t="shared" si="2"/>
        <v>200</v>
      </c>
      <c r="O6" s="19">
        <f t="shared" si="3"/>
        <v>100</v>
      </c>
      <c r="P6" s="19">
        <f t="shared" si="4"/>
        <v>100</v>
      </c>
    </row>
    <row r="7" spans="1:16" ht="15.6" x14ac:dyDescent="0.3">
      <c r="A7" s="6">
        <v>6</v>
      </c>
      <c r="B7" s="7" t="s">
        <v>79</v>
      </c>
      <c r="C7" s="8" t="s">
        <v>80</v>
      </c>
      <c r="D7" s="17" t="s">
        <v>38</v>
      </c>
      <c r="E7" s="17" t="s">
        <v>13</v>
      </c>
      <c r="F7" s="17" t="s">
        <v>377</v>
      </c>
      <c r="G7" s="23">
        <v>29</v>
      </c>
      <c r="H7" s="20">
        <v>100</v>
      </c>
      <c r="I7" s="20">
        <v>300</v>
      </c>
      <c r="J7" s="17" t="s">
        <v>68</v>
      </c>
      <c r="K7" s="9" t="s">
        <v>14</v>
      </c>
      <c r="L7" s="10">
        <f t="shared" si="0"/>
        <v>3.4482758620689653</v>
      </c>
      <c r="M7" s="10">
        <f t="shared" si="1"/>
        <v>10.344827586206897</v>
      </c>
      <c r="N7" s="19">
        <f t="shared" si="2"/>
        <v>200</v>
      </c>
      <c r="O7" s="19">
        <f t="shared" si="3"/>
        <v>100</v>
      </c>
      <c r="P7" s="19">
        <f t="shared" si="4"/>
        <v>100</v>
      </c>
    </row>
    <row r="8" spans="1:16" ht="15.6" x14ac:dyDescent="0.3">
      <c r="A8" s="6">
        <v>7</v>
      </c>
      <c r="B8" s="7" t="s">
        <v>81</v>
      </c>
      <c r="C8" s="8" t="s">
        <v>82</v>
      </c>
      <c r="D8" s="17" t="s">
        <v>38</v>
      </c>
      <c r="E8" s="17" t="s">
        <v>13</v>
      </c>
      <c r="F8" s="17" t="s">
        <v>377</v>
      </c>
      <c r="G8" s="23">
        <v>29</v>
      </c>
      <c r="H8" s="20">
        <v>100</v>
      </c>
      <c r="I8" s="20">
        <v>300</v>
      </c>
      <c r="J8" s="17" t="s">
        <v>68</v>
      </c>
      <c r="K8" s="9" t="s">
        <v>14</v>
      </c>
      <c r="L8" s="10">
        <f t="shared" si="0"/>
        <v>3.4482758620689653</v>
      </c>
      <c r="M8" s="10">
        <f t="shared" si="1"/>
        <v>10.344827586206897</v>
      </c>
      <c r="N8" s="19">
        <f t="shared" si="2"/>
        <v>200</v>
      </c>
      <c r="O8" s="19">
        <f t="shared" si="3"/>
        <v>100</v>
      </c>
      <c r="P8" s="19">
        <f t="shared" si="4"/>
        <v>100</v>
      </c>
    </row>
    <row r="9" spans="1:16" ht="15.6" x14ac:dyDescent="0.3">
      <c r="A9" s="6">
        <v>8</v>
      </c>
      <c r="B9" s="7" t="s">
        <v>83</v>
      </c>
      <c r="C9" s="8" t="s">
        <v>84</v>
      </c>
      <c r="D9" s="17" t="s">
        <v>38</v>
      </c>
      <c r="E9" s="17" t="s">
        <v>13</v>
      </c>
      <c r="F9" s="17" t="s">
        <v>377</v>
      </c>
      <c r="G9" s="23">
        <v>29</v>
      </c>
      <c r="H9" s="20">
        <v>100</v>
      </c>
      <c r="I9" s="20">
        <v>300</v>
      </c>
      <c r="J9" s="17" t="s">
        <v>68</v>
      </c>
      <c r="K9" s="9" t="s">
        <v>14</v>
      </c>
      <c r="L9" s="10">
        <f t="shared" si="0"/>
        <v>3.4482758620689653</v>
      </c>
      <c r="M9" s="10">
        <f t="shared" si="1"/>
        <v>10.344827586206897</v>
      </c>
      <c r="N9" s="19">
        <f t="shared" si="2"/>
        <v>200</v>
      </c>
      <c r="O9" s="19">
        <f t="shared" si="3"/>
        <v>100</v>
      </c>
      <c r="P9" s="19">
        <f t="shared" si="4"/>
        <v>100</v>
      </c>
    </row>
    <row r="10" spans="1:16" ht="15.6" x14ac:dyDescent="0.3">
      <c r="A10" s="6">
        <v>9</v>
      </c>
      <c r="B10" s="7" t="s">
        <v>85</v>
      </c>
      <c r="C10" s="8" t="s">
        <v>86</v>
      </c>
      <c r="D10" s="17" t="s">
        <v>38</v>
      </c>
      <c r="E10" s="17" t="s">
        <v>13</v>
      </c>
      <c r="F10" s="17" t="s">
        <v>377</v>
      </c>
      <c r="G10" s="23">
        <v>29</v>
      </c>
      <c r="H10" s="20">
        <v>100</v>
      </c>
      <c r="I10" s="20">
        <v>300</v>
      </c>
      <c r="J10" s="17" t="s">
        <v>68</v>
      </c>
      <c r="K10" s="9" t="s">
        <v>14</v>
      </c>
      <c r="L10" s="10">
        <f t="shared" si="0"/>
        <v>3.4482758620689653</v>
      </c>
      <c r="M10" s="10">
        <f t="shared" si="1"/>
        <v>10.344827586206897</v>
      </c>
      <c r="N10" s="19">
        <f t="shared" si="2"/>
        <v>200</v>
      </c>
      <c r="O10" s="19">
        <f t="shared" si="3"/>
        <v>100</v>
      </c>
      <c r="P10" s="19">
        <f t="shared" si="4"/>
        <v>100</v>
      </c>
    </row>
    <row r="11" spans="1:16" ht="15.6" x14ac:dyDescent="0.3">
      <c r="A11" s="6">
        <v>10</v>
      </c>
      <c r="B11" s="7" t="s">
        <v>87</v>
      </c>
      <c r="C11" s="8" t="s">
        <v>88</v>
      </c>
      <c r="D11" s="17" t="s">
        <v>38</v>
      </c>
      <c r="E11" s="17" t="s">
        <v>13</v>
      </c>
      <c r="F11" s="17" t="s">
        <v>377</v>
      </c>
      <c r="G11" s="23">
        <v>29</v>
      </c>
      <c r="H11" s="20">
        <v>100</v>
      </c>
      <c r="I11" s="20">
        <v>300</v>
      </c>
      <c r="J11" s="17" t="s">
        <v>68</v>
      </c>
      <c r="K11" s="9" t="s">
        <v>14</v>
      </c>
      <c r="L11" s="10">
        <f t="shared" si="0"/>
        <v>3.4482758620689653</v>
      </c>
      <c r="M11" s="10">
        <f t="shared" si="1"/>
        <v>10.344827586206897</v>
      </c>
      <c r="N11" s="19">
        <f t="shared" si="2"/>
        <v>200</v>
      </c>
      <c r="O11" s="19">
        <f t="shared" si="3"/>
        <v>100</v>
      </c>
      <c r="P11" s="19">
        <f t="shared" si="4"/>
        <v>100</v>
      </c>
    </row>
    <row r="12" spans="1:16" ht="15.6" x14ac:dyDescent="0.3">
      <c r="A12" s="6">
        <v>11</v>
      </c>
      <c r="B12" s="7" t="s">
        <v>107</v>
      </c>
      <c r="C12" s="26" t="s">
        <v>108</v>
      </c>
      <c r="D12" s="17" t="s">
        <v>38</v>
      </c>
      <c r="E12" s="17" t="s">
        <v>13</v>
      </c>
      <c r="F12" s="17" t="s">
        <v>377</v>
      </c>
      <c r="G12" s="23">
        <v>29</v>
      </c>
      <c r="H12" s="20">
        <v>100</v>
      </c>
      <c r="I12" s="20">
        <v>300</v>
      </c>
      <c r="J12" s="17" t="s">
        <v>68</v>
      </c>
      <c r="K12" s="9" t="s">
        <v>14</v>
      </c>
      <c r="L12" s="10">
        <f t="shared" si="0"/>
        <v>3.4482758620689653</v>
      </c>
      <c r="M12" s="10">
        <f t="shared" si="1"/>
        <v>10.344827586206897</v>
      </c>
      <c r="N12" s="19">
        <f t="shared" si="2"/>
        <v>200</v>
      </c>
      <c r="O12" s="19">
        <f t="shared" si="3"/>
        <v>100</v>
      </c>
      <c r="P12" s="19">
        <f t="shared" si="4"/>
        <v>100</v>
      </c>
    </row>
    <row r="13" spans="1:16" ht="15.6" x14ac:dyDescent="0.3">
      <c r="A13" s="6">
        <v>12</v>
      </c>
      <c r="B13" s="7" t="s">
        <v>115</v>
      </c>
      <c r="C13" s="26" t="s">
        <v>116</v>
      </c>
      <c r="D13" s="17" t="s">
        <v>38</v>
      </c>
      <c r="E13" s="17" t="s">
        <v>13</v>
      </c>
      <c r="F13" s="17" t="s">
        <v>377</v>
      </c>
      <c r="G13" s="23">
        <v>29</v>
      </c>
      <c r="H13" s="20">
        <v>100</v>
      </c>
      <c r="I13" s="20">
        <v>300</v>
      </c>
      <c r="J13" s="17" t="s">
        <v>68</v>
      </c>
      <c r="K13" s="9" t="s">
        <v>14</v>
      </c>
      <c r="L13" s="10">
        <f t="shared" si="0"/>
        <v>3.4482758620689653</v>
      </c>
      <c r="M13" s="10">
        <f t="shared" si="1"/>
        <v>10.344827586206897</v>
      </c>
      <c r="N13" s="19">
        <f t="shared" si="2"/>
        <v>200</v>
      </c>
      <c r="O13" s="19">
        <f t="shared" si="3"/>
        <v>100</v>
      </c>
      <c r="P13" s="19">
        <f t="shared" si="4"/>
        <v>100</v>
      </c>
    </row>
    <row r="14" spans="1:16" ht="15.6" x14ac:dyDescent="0.3">
      <c r="A14" s="6">
        <v>13</v>
      </c>
      <c r="B14" s="15" t="s">
        <v>66</v>
      </c>
      <c r="C14" s="16" t="s">
        <v>67</v>
      </c>
      <c r="D14" s="17" t="s">
        <v>38</v>
      </c>
      <c r="E14" s="17" t="s">
        <v>13</v>
      </c>
      <c r="F14" s="17" t="s">
        <v>377</v>
      </c>
      <c r="G14" s="15">
        <v>41.7</v>
      </c>
      <c r="H14" s="20">
        <v>200</v>
      </c>
      <c r="I14" s="15">
        <v>500</v>
      </c>
      <c r="J14" s="17" t="s">
        <v>68</v>
      </c>
      <c r="K14" s="9" t="s">
        <v>14</v>
      </c>
      <c r="L14" s="10">
        <f t="shared" si="0"/>
        <v>4.796163069544364</v>
      </c>
      <c r="M14" s="10">
        <f t="shared" si="1"/>
        <v>11.990407673860911</v>
      </c>
      <c r="N14" s="22">
        <f t="shared" si="2"/>
        <v>300</v>
      </c>
      <c r="O14" s="22">
        <f t="shared" si="3"/>
        <v>150</v>
      </c>
      <c r="P14" s="22">
        <f t="shared" si="4"/>
        <v>150</v>
      </c>
    </row>
    <row r="15" spans="1:16" ht="15.6" x14ac:dyDescent="0.3">
      <c r="A15" s="6">
        <v>14</v>
      </c>
      <c r="B15" s="15" t="s">
        <v>89</v>
      </c>
      <c r="C15" s="16" t="s">
        <v>90</v>
      </c>
      <c r="D15" s="17" t="s">
        <v>38</v>
      </c>
      <c r="E15" s="17" t="s">
        <v>13</v>
      </c>
      <c r="F15" s="17" t="s">
        <v>377</v>
      </c>
      <c r="G15" s="15">
        <v>59</v>
      </c>
      <c r="H15" s="20">
        <v>200</v>
      </c>
      <c r="I15" s="15">
        <v>500</v>
      </c>
      <c r="J15" s="17" t="s">
        <v>39</v>
      </c>
      <c r="K15" s="9" t="s">
        <v>14</v>
      </c>
      <c r="L15" s="10">
        <f t="shared" si="0"/>
        <v>3.3898305084745761</v>
      </c>
      <c r="M15" s="10">
        <f t="shared" si="1"/>
        <v>8.4745762711864412</v>
      </c>
      <c r="N15" s="19">
        <f t="shared" si="2"/>
        <v>300</v>
      </c>
      <c r="O15" s="19">
        <f t="shared" si="3"/>
        <v>150</v>
      </c>
      <c r="P15" s="19">
        <f t="shared" si="4"/>
        <v>150</v>
      </c>
    </row>
    <row r="16" spans="1:16" ht="15.6" x14ac:dyDescent="0.3">
      <c r="A16" s="6">
        <v>15</v>
      </c>
      <c r="B16" s="15" t="s">
        <v>40</v>
      </c>
      <c r="C16" s="16" t="s">
        <v>91</v>
      </c>
      <c r="D16" s="17" t="s">
        <v>38</v>
      </c>
      <c r="E16" s="17" t="s">
        <v>13</v>
      </c>
      <c r="F16" s="17" t="s">
        <v>377</v>
      </c>
      <c r="G16" s="15">
        <v>52.1</v>
      </c>
      <c r="H16" s="20">
        <v>200</v>
      </c>
      <c r="I16" s="15">
        <v>500</v>
      </c>
      <c r="J16" s="17" t="s">
        <v>68</v>
      </c>
      <c r="K16" s="9" t="s">
        <v>14</v>
      </c>
      <c r="L16" s="10">
        <f t="shared" si="0"/>
        <v>3.8387715930902111</v>
      </c>
      <c r="M16" s="10">
        <f t="shared" si="1"/>
        <v>9.5969289827255277</v>
      </c>
      <c r="N16" s="19">
        <f t="shared" si="2"/>
        <v>300</v>
      </c>
      <c r="O16" s="19">
        <f t="shared" si="3"/>
        <v>150</v>
      </c>
      <c r="P16" s="19">
        <f t="shared" si="4"/>
        <v>150</v>
      </c>
    </row>
    <row r="17" spans="1:16" ht="15.75" customHeight="1" x14ac:dyDescent="0.3">
      <c r="A17" s="6">
        <v>16</v>
      </c>
      <c r="B17" s="15" t="s">
        <v>92</v>
      </c>
      <c r="C17" s="16" t="s">
        <v>93</v>
      </c>
      <c r="D17" s="17" t="s">
        <v>38</v>
      </c>
      <c r="E17" s="17" t="s">
        <v>13</v>
      </c>
      <c r="F17" s="17" t="s">
        <v>377</v>
      </c>
      <c r="G17" s="15">
        <v>33</v>
      </c>
      <c r="H17" s="20">
        <v>200</v>
      </c>
      <c r="I17" s="15">
        <v>400</v>
      </c>
      <c r="J17" s="17" t="s">
        <v>94</v>
      </c>
      <c r="K17" s="9" t="s">
        <v>14</v>
      </c>
      <c r="L17" s="10">
        <f t="shared" si="0"/>
        <v>6.0606060606060606</v>
      </c>
      <c r="M17" s="10">
        <f t="shared" si="1"/>
        <v>12.121212121212121</v>
      </c>
      <c r="N17" s="19">
        <f t="shared" si="2"/>
        <v>200</v>
      </c>
      <c r="O17" s="19">
        <f t="shared" si="3"/>
        <v>100</v>
      </c>
      <c r="P17" s="19">
        <f t="shared" si="4"/>
        <v>100</v>
      </c>
    </row>
    <row r="18" spans="1:16" ht="15.75" customHeight="1" x14ac:dyDescent="0.3">
      <c r="A18" s="6">
        <v>17</v>
      </c>
      <c r="B18" s="7" t="s">
        <v>95</v>
      </c>
      <c r="C18" s="8" t="s">
        <v>96</v>
      </c>
      <c r="D18" s="17" t="s">
        <v>38</v>
      </c>
      <c r="E18" s="17" t="s">
        <v>13</v>
      </c>
      <c r="F18" s="17" t="s">
        <v>377</v>
      </c>
      <c r="G18" s="21">
        <v>29</v>
      </c>
      <c r="H18" s="20">
        <v>200</v>
      </c>
      <c r="I18" s="20">
        <v>400</v>
      </c>
      <c r="J18" s="17" t="s">
        <v>68</v>
      </c>
      <c r="K18" s="9" t="s">
        <v>14</v>
      </c>
      <c r="L18" s="10">
        <f t="shared" si="0"/>
        <v>6.8965517241379306</v>
      </c>
      <c r="M18" s="10">
        <f t="shared" si="1"/>
        <v>13.793103448275861</v>
      </c>
      <c r="N18" s="19">
        <f t="shared" si="2"/>
        <v>200</v>
      </c>
      <c r="O18" s="19">
        <f t="shared" si="3"/>
        <v>100</v>
      </c>
      <c r="P18" s="19">
        <f t="shared" si="4"/>
        <v>100</v>
      </c>
    </row>
    <row r="19" spans="1:16" ht="15.6" x14ac:dyDescent="0.3">
      <c r="A19" s="6">
        <v>18</v>
      </c>
      <c r="B19" s="15" t="s">
        <v>97</v>
      </c>
      <c r="C19" s="16" t="s">
        <v>97</v>
      </c>
      <c r="D19" s="17" t="s">
        <v>38</v>
      </c>
      <c r="E19" s="17" t="s">
        <v>13</v>
      </c>
      <c r="F19" s="17" t="s">
        <v>377</v>
      </c>
      <c r="G19" s="15">
        <v>55</v>
      </c>
      <c r="H19" s="20">
        <v>200</v>
      </c>
      <c r="I19" s="15">
        <v>500</v>
      </c>
      <c r="J19" s="17" t="s">
        <v>94</v>
      </c>
      <c r="K19" s="9" t="s">
        <v>14</v>
      </c>
      <c r="L19" s="10">
        <f t="shared" si="0"/>
        <v>3.6363636363636362</v>
      </c>
      <c r="M19" s="10">
        <f t="shared" si="1"/>
        <v>9.0909090909090917</v>
      </c>
      <c r="N19" s="19">
        <f t="shared" si="2"/>
        <v>300</v>
      </c>
      <c r="O19" s="19">
        <f t="shared" si="3"/>
        <v>150</v>
      </c>
      <c r="P19" s="19">
        <f t="shared" si="4"/>
        <v>150</v>
      </c>
    </row>
    <row r="20" spans="1:16" ht="15.6" x14ac:dyDescent="0.3">
      <c r="A20" s="6">
        <v>19</v>
      </c>
      <c r="B20" s="15" t="s">
        <v>98</v>
      </c>
      <c r="C20" s="16" t="s">
        <v>99</v>
      </c>
      <c r="D20" s="17" t="s">
        <v>38</v>
      </c>
      <c r="E20" s="17" t="s">
        <v>13</v>
      </c>
      <c r="F20" s="17" t="s">
        <v>377</v>
      </c>
      <c r="G20" s="15">
        <v>55</v>
      </c>
      <c r="H20" s="20">
        <v>200</v>
      </c>
      <c r="I20" s="15">
        <v>500</v>
      </c>
      <c r="J20" s="17" t="s">
        <v>94</v>
      </c>
      <c r="K20" s="9" t="s">
        <v>14</v>
      </c>
      <c r="L20" s="10">
        <f t="shared" si="0"/>
        <v>3.6363636363636362</v>
      </c>
      <c r="M20" s="10">
        <f t="shared" si="1"/>
        <v>9.0909090909090917</v>
      </c>
      <c r="N20" s="19">
        <f t="shared" si="2"/>
        <v>300</v>
      </c>
      <c r="O20" s="19">
        <f t="shared" si="3"/>
        <v>150</v>
      </c>
      <c r="P20" s="19">
        <f t="shared" si="4"/>
        <v>150</v>
      </c>
    </row>
    <row r="21" spans="1:16" ht="15.6" x14ac:dyDescent="0.3">
      <c r="A21" s="6">
        <v>20</v>
      </c>
      <c r="B21" s="15" t="s">
        <v>100</v>
      </c>
      <c r="C21" s="16" t="s">
        <v>101</v>
      </c>
      <c r="D21" s="17" t="s">
        <v>38</v>
      </c>
      <c r="E21" s="17" t="s">
        <v>13</v>
      </c>
      <c r="F21" s="17" t="s">
        <v>377</v>
      </c>
      <c r="G21" s="15">
        <v>55</v>
      </c>
      <c r="H21" s="20">
        <v>200</v>
      </c>
      <c r="I21" s="15">
        <v>500</v>
      </c>
      <c r="J21" s="17" t="s">
        <v>94</v>
      </c>
      <c r="K21" s="9" t="s">
        <v>14</v>
      </c>
      <c r="L21" s="10">
        <f t="shared" si="0"/>
        <v>3.6363636363636362</v>
      </c>
      <c r="M21" s="10">
        <f t="shared" si="1"/>
        <v>9.0909090909090917</v>
      </c>
      <c r="N21" s="19">
        <f t="shared" si="2"/>
        <v>300</v>
      </c>
      <c r="O21" s="19">
        <f t="shared" si="3"/>
        <v>150</v>
      </c>
      <c r="P21" s="19">
        <f t="shared" si="4"/>
        <v>150</v>
      </c>
    </row>
    <row r="22" spans="1:16" ht="15.6" x14ac:dyDescent="0.3">
      <c r="A22" s="6">
        <v>21</v>
      </c>
      <c r="B22" s="7" t="s">
        <v>375</v>
      </c>
      <c r="C22" s="8" t="s">
        <v>102</v>
      </c>
      <c r="D22" s="17" t="s">
        <v>38</v>
      </c>
      <c r="E22" s="17" t="s">
        <v>13</v>
      </c>
      <c r="F22" s="17" t="s">
        <v>377</v>
      </c>
      <c r="G22" s="23">
        <v>52</v>
      </c>
      <c r="H22" s="20">
        <v>200</v>
      </c>
      <c r="I22" s="20">
        <v>500</v>
      </c>
      <c r="J22" s="17" t="s">
        <v>68</v>
      </c>
      <c r="K22" s="9" t="s">
        <v>14</v>
      </c>
      <c r="L22" s="10">
        <f t="shared" si="0"/>
        <v>3.8461538461538463</v>
      </c>
      <c r="M22" s="10">
        <f t="shared" si="1"/>
        <v>9.615384615384615</v>
      </c>
      <c r="N22" s="19">
        <f t="shared" si="2"/>
        <v>300</v>
      </c>
      <c r="O22" s="19">
        <f t="shared" si="3"/>
        <v>150</v>
      </c>
      <c r="P22" s="19">
        <f t="shared" si="4"/>
        <v>150</v>
      </c>
    </row>
    <row r="23" spans="1:16" ht="15.6" x14ac:dyDescent="0.3">
      <c r="A23" s="6">
        <v>22</v>
      </c>
      <c r="B23" s="24" t="s">
        <v>105</v>
      </c>
      <c r="C23" s="25" t="s">
        <v>106</v>
      </c>
      <c r="D23" s="11" t="s">
        <v>38</v>
      </c>
      <c r="E23" s="17" t="s">
        <v>13</v>
      </c>
      <c r="F23" s="17" t="s">
        <v>377</v>
      </c>
      <c r="G23" s="21">
        <v>60</v>
      </c>
      <c r="H23" s="20">
        <v>200</v>
      </c>
      <c r="I23" s="15">
        <v>500</v>
      </c>
      <c r="J23" s="12" t="s">
        <v>68</v>
      </c>
      <c r="K23" s="9" t="s">
        <v>14</v>
      </c>
      <c r="L23" s="10">
        <f t="shared" si="0"/>
        <v>3.3333333333333335</v>
      </c>
      <c r="M23" s="10">
        <f t="shared" si="1"/>
        <v>8.3333333333333339</v>
      </c>
      <c r="N23" s="19">
        <f t="shared" si="2"/>
        <v>300</v>
      </c>
      <c r="O23" s="19">
        <f t="shared" si="3"/>
        <v>150</v>
      </c>
      <c r="P23" s="19">
        <f t="shared" si="4"/>
        <v>150</v>
      </c>
    </row>
    <row r="24" spans="1:16" ht="15.6" x14ac:dyDescent="0.3">
      <c r="A24" s="6">
        <v>23</v>
      </c>
      <c r="B24" s="15" t="s">
        <v>111</v>
      </c>
      <c r="C24" s="16" t="s">
        <v>112</v>
      </c>
      <c r="D24" s="17" t="s">
        <v>38</v>
      </c>
      <c r="E24" s="17" t="s">
        <v>13</v>
      </c>
      <c r="F24" s="17" t="s">
        <v>377</v>
      </c>
      <c r="G24" s="15">
        <v>41.7</v>
      </c>
      <c r="H24" s="20">
        <v>200</v>
      </c>
      <c r="I24" s="15">
        <v>500</v>
      </c>
      <c r="J24" s="17" t="s">
        <v>68</v>
      </c>
      <c r="K24" s="9" t="s">
        <v>14</v>
      </c>
      <c r="L24" s="10">
        <f t="shared" si="0"/>
        <v>4.796163069544364</v>
      </c>
      <c r="M24" s="10">
        <f t="shared" si="1"/>
        <v>11.990407673860911</v>
      </c>
      <c r="N24" s="19">
        <f t="shared" si="2"/>
        <v>300</v>
      </c>
      <c r="O24" s="19">
        <f t="shared" si="3"/>
        <v>150</v>
      </c>
      <c r="P24" s="19">
        <f t="shared" si="4"/>
        <v>150</v>
      </c>
    </row>
    <row r="25" spans="1:16" ht="15.6" x14ac:dyDescent="0.3">
      <c r="A25" s="6">
        <v>24</v>
      </c>
      <c r="B25" s="15" t="s">
        <v>117</v>
      </c>
      <c r="C25" s="16" t="s">
        <v>118</v>
      </c>
      <c r="D25" s="17" t="s">
        <v>38</v>
      </c>
      <c r="E25" s="17" t="s">
        <v>13</v>
      </c>
      <c r="F25" s="17" t="s">
        <v>377</v>
      </c>
      <c r="G25" s="15">
        <v>55</v>
      </c>
      <c r="H25" s="20">
        <v>200</v>
      </c>
      <c r="I25" s="15">
        <v>500</v>
      </c>
      <c r="J25" s="17" t="s">
        <v>94</v>
      </c>
      <c r="K25" s="9" t="s">
        <v>14</v>
      </c>
      <c r="L25" s="10">
        <f t="shared" si="0"/>
        <v>3.6363636363636362</v>
      </c>
      <c r="M25" s="10">
        <f t="shared" si="1"/>
        <v>9.0909090909090917</v>
      </c>
      <c r="N25" s="19">
        <f t="shared" si="2"/>
        <v>300</v>
      </c>
      <c r="O25" s="19">
        <f t="shared" si="3"/>
        <v>150</v>
      </c>
      <c r="P25" s="19">
        <f t="shared" si="4"/>
        <v>150</v>
      </c>
    </row>
    <row r="26" spans="1:16" ht="15.6" x14ac:dyDescent="0.3">
      <c r="A26" s="6">
        <v>25</v>
      </c>
      <c r="B26" s="15" t="s">
        <v>121</v>
      </c>
      <c r="C26" s="16" t="s">
        <v>122</v>
      </c>
      <c r="D26" s="17" t="s">
        <v>38</v>
      </c>
      <c r="E26" s="17" t="s">
        <v>13</v>
      </c>
      <c r="F26" s="17" t="s">
        <v>377</v>
      </c>
      <c r="G26" s="15">
        <v>60</v>
      </c>
      <c r="H26" s="20">
        <v>200</v>
      </c>
      <c r="I26" s="15">
        <v>500</v>
      </c>
      <c r="J26" s="17" t="s">
        <v>123</v>
      </c>
      <c r="K26" s="9" t="s">
        <v>14</v>
      </c>
      <c r="L26" s="10">
        <f t="shared" si="0"/>
        <v>3.3333333333333335</v>
      </c>
      <c r="M26" s="10">
        <f t="shared" si="1"/>
        <v>8.3333333333333339</v>
      </c>
      <c r="N26" s="19">
        <f t="shared" si="2"/>
        <v>300</v>
      </c>
      <c r="O26" s="19">
        <f t="shared" si="3"/>
        <v>150</v>
      </c>
      <c r="P26" s="19">
        <f t="shared" si="4"/>
        <v>150</v>
      </c>
    </row>
    <row r="27" spans="1:16" ht="15.6" x14ac:dyDescent="0.3">
      <c r="A27" s="6">
        <v>26</v>
      </c>
      <c r="B27" s="15" t="s">
        <v>128</v>
      </c>
      <c r="C27" s="16" t="s">
        <v>129</v>
      </c>
      <c r="D27" s="17" t="s">
        <v>38</v>
      </c>
      <c r="E27" s="17" t="s">
        <v>13</v>
      </c>
      <c r="F27" s="17" t="s">
        <v>377</v>
      </c>
      <c r="G27" s="15">
        <v>41.8</v>
      </c>
      <c r="H27" s="20">
        <v>200</v>
      </c>
      <c r="I27" s="15">
        <v>500</v>
      </c>
      <c r="J27" s="17" t="s">
        <v>94</v>
      </c>
      <c r="K27" s="9" t="s">
        <v>14</v>
      </c>
      <c r="L27" s="10">
        <f t="shared" si="0"/>
        <v>4.7846889952153111</v>
      </c>
      <c r="M27" s="10">
        <f t="shared" si="1"/>
        <v>11.961722488038278</v>
      </c>
      <c r="N27" s="19">
        <f t="shared" si="2"/>
        <v>300</v>
      </c>
      <c r="O27" s="19">
        <f t="shared" si="3"/>
        <v>150</v>
      </c>
      <c r="P27" s="19">
        <f t="shared" si="4"/>
        <v>150</v>
      </c>
    </row>
    <row r="28" spans="1:16" ht="15.6" x14ac:dyDescent="0.3">
      <c r="A28" s="6">
        <v>27</v>
      </c>
      <c r="B28" s="24" t="s">
        <v>132</v>
      </c>
      <c r="C28" s="25" t="s">
        <v>133</v>
      </c>
      <c r="D28" s="11" t="s">
        <v>38</v>
      </c>
      <c r="E28" s="17" t="s">
        <v>13</v>
      </c>
      <c r="F28" s="17" t="s">
        <v>377</v>
      </c>
      <c r="G28" s="21">
        <v>60</v>
      </c>
      <c r="H28" s="20">
        <v>200</v>
      </c>
      <c r="I28" s="15">
        <v>500</v>
      </c>
      <c r="J28" s="12" t="s">
        <v>68</v>
      </c>
      <c r="K28" s="9" t="s">
        <v>14</v>
      </c>
      <c r="L28" s="10">
        <f t="shared" si="0"/>
        <v>3.3333333333333335</v>
      </c>
      <c r="M28" s="10">
        <f t="shared" si="1"/>
        <v>8.3333333333333339</v>
      </c>
      <c r="N28" s="19">
        <f t="shared" si="2"/>
        <v>300</v>
      </c>
      <c r="O28" s="19">
        <f t="shared" si="3"/>
        <v>150</v>
      </c>
      <c r="P28" s="19">
        <f t="shared" si="4"/>
        <v>150</v>
      </c>
    </row>
    <row r="29" spans="1:16" ht="15.6" x14ac:dyDescent="0.3">
      <c r="A29" s="6">
        <v>28</v>
      </c>
      <c r="B29" s="15" t="s">
        <v>142</v>
      </c>
      <c r="C29" s="16" t="s">
        <v>143</v>
      </c>
      <c r="D29" s="17" t="s">
        <v>38</v>
      </c>
      <c r="E29" s="17" t="s">
        <v>13</v>
      </c>
      <c r="F29" s="17" t="s">
        <v>377</v>
      </c>
      <c r="G29" s="15">
        <v>33</v>
      </c>
      <c r="H29" s="20">
        <v>200</v>
      </c>
      <c r="I29" s="15">
        <v>400</v>
      </c>
      <c r="J29" s="17" t="s">
        <v>94</v>
      </c>
      <c r="K29" s="9" t="s">
        <v>14</v>
      </c>
      <c r="L29" s="10">
        <f t="shared" si="0"/>
        <v>6.0606060606060606</v>
      </c>
      <c r="M29" s="10">
        <f t="shared" si="1"/>
        <v>12.121212121212121</v>
      </c>
      <c r="N29" s="22">
        <f t="shared" si="2"/>
        <v>200</v>
      </c>
      <c r="O29" s="22">
        <f t="shared" si="3"/>
        <v>100</v>
      </c>
      <c r="P29" s="22">
        <f t="shared" si="4"/>
        <v>100</v>
      </c>
    </row>
    <row r="30" spans="1:16" ht="15.6" x14ac:dyDescent="0.3">
      <c r="A30" s="6">
        <v>29</v>
      </c>
      <c r="B30" s="28" t="s">
        <v>153</v>
      </c>
      <c r="C30" s="30" t="s">
        <v>154</v>
      </c>
      <c r="D30" s="11" t="s">
        <v>38</v>
      </c>
      <c r="E30" s="17" t="s">
        <v>13</v>
      </c>
      <c r="F30" s="17" t="s">
        <v>377</v>
      </c>
      <c r="G30" s="28">
        <v>55</v>
      </c>
      <c r="H30" s="20">
        <v>200</v>
      </c>
      <c r="I30" s="15">
        <v>500</v>
      </c>
      <c r="J30" s="12" t="s">
        <v>150</v>
      </c>
      <c r="K30" s="9" t="s">
        <v>14</v>
      </c>
      <c r="L30" s="10">
        <f t="shared" si="0"/>
        <v>3.6363636363636362</v>
      </c>
      <c r="M30" s="10">
        <f t="shared" si="1"/>
        <v>9.0909090909090917</v>
      </c>
      <c r="N30" s="19">
        <f t="shared" si="2"/>
        <v>300</v>
      </c>
      <c r="O30" s="19">
        <f t="shared" si="3"/>
        <v>150</v>
      </c>
      <c r="P30" s="19">
        <f t="shared" si="4"/>
        <v>150</v>
      </c>
    </row>
    <row r="31" spans="1:16" ht="15.6" x14ac:dyDescent="0.3">
      <c r="A31" s="6">
        <v>30</v>
      </c>
      <c r="B31" s="24" t="s">
        <v>159</v>
      </c>
      <c r="C31" s="25" t="s">
        <v>160</v>
      </c>
      <c r="D31" s="11" t="s">
        <v>38</v>
      </c>
      <c r="E31" s="17" t="s">
        <v>13</v>
      </c>
      <c r="F31" s="17" t="s">
        <v>377</v>
      </c>
      <c r="G31" s="21">
        <v>60</v>
      </c>
      <c r="H31" s="20">
        <v>200</v>
      </c>
      <c r="I31" s="15">
        <v>500</v>
      </c>
      <c r="J31" s="12" t="s">
        <v>68</v>
      </c>
      <c r="K31" s="9" t="s">
        <v>14</v>
      </c>
      <c r="L31" s="10">
        <f t="shared" si="0"/>
        <v>3.3333333333333335</v>
      </c>
      <c r="M31" s="10">
        <f t="shared" si="1"/>
        <v>8.3333333333333339</v>
      </c>
      <c r="N31" s="22">
        <f t="shared" si="2"/>
        <v>300</v>
      </c>
      <c r="O31" s="22">
        <f t="shared" si="3"/>
        <v>150</v>
      </c>
      <c r="P31" s="22">
        <f t="shared" si="4"/>
        <v>150</v>
      </c>
    </row>
    <row r="32" spans="1:16" ht="15.6" x14ac:dyDescent="0.3">
      <c r="A32" s="6">
        <v>31</v>
      </c>
      <c r="B32" s="15" t="s">
        <v>161</v>
      </c>
      <c r="C32" s="31" t="s">
        <v>162</v>
      </c>
      <c r="D32" s="17" t="s">
        <v>38</v>
      </c>
      <c r="E32" s="17" t="s">
        <v>13</v>
      </c>
      <c r="F32" s="17" t="s">
        <v>377</v>
      </c>
      <c r="G32" s="15">
        <v>62</v>
      </c>
      <c r="H32" s="20">
        <v>200</v>
      </c>
      <c r="I32" s="15">
        <v>500</v>
      </c>
      <c r="J32" s="17" t="s">
        <v>123</v>
      </c>
      <c r="K32" s="9" t="s">
        <v>14</v>
      </c>
      <c r="L32" s="10">
        <f t="shared" si="0"/>
        <v>3.225806451612903</v>
      </c>
      <c r="M32" s="10">
        <f t="shared" si="1"/>
        <v>8.064516129032258</v>
      </c>
      <c r="N32" s="19">
        <f t="shared" si="2"/>
        <v>300</v>
      </c>
      <c r="O32" s="19">
        <f t="shared" si="3"/>
        <v>150</v>
      </c>
      <c r="P32" s="19">
        <f t="shared" si="4"/>
        <v>150</v>
      </c>
    </row>
    <row r="33" spans="1:16" ht="15.6" x14ac:dyDescent="0.3">
      <c r="A33" s="6">
        <v>32</v>
      </c>
      <c r="B33" s="15" t="s">
        <v>185</v>
      </c>
      <c r="C33" s="16" t="s">
        <v>185</v>
      </c>
      <c r="D33" s="17" t="s">
        <v>38</v>
      </c>
      <c r="E33" s="17" t="s">
        <v>13</v>
      </c>
      <c r="F33" s="17" t="s">
        <v>377</v>
      </c>
      <c r="G33" s="15">
        <v>43.3</v>
      </c>
      <c r="H33" s="20">
        <v>200</v>
      </c>
      <c r="I33" s="15">
        <v>500</v>
      </c>
      <c r="J33" s="17" t="s">
        <v>68</v>
      </c>
      <c r="K33" s="9" t="s">
        <v>14</v>
      </c>
      <c r="L33" s="10">
        <f t="shared" si="0"/>
        <v>4.618937644341802</v>
      </c>
      <c r="M33" s="10">
        <f t="shared" si="1"/>
        <v>11.547344110854505</v>
      </c>
      <c r="N33" s="19">
        <f t="shared" si="2"/>
        <v>300</v>
      </c>
      <c r="O33" s="19">
        <f t="shared" si="3"/>
        <v>150</v>
      </c>
      <c r="P33" s="19">
        <f t="shared" si="4"/>
        <v>150</v>
      </c>
    </row>
    <row r="34" spans="1:16" ht="15.6" x14ac:dyDescent="0.3">
      <c r="A34" s="6">
        <v>33</v>
      </c>
      <c r="B34" s="15" t="s">
        <v>194</v>
      </c>
      <c r="C34" s="16" t="s">
        <v>195</v>
      </c>
      <c r="D34" s="17" t="s">
        <v>38</v>
      </c>
      <c r="E34" s="17" t="s">
        <v>13</v>
      </c>
      <c r="F34" s="17" t="s">
        <v>377</v>
      </c>
      <c r="G34" s="15">
        <v>44</v>
      </c>
      <c r="H34" s="20">
        <v>200</v>
      </c>
      <c r="I34" s="15">
        <v>500</v>
      </c>
      <c r="J34" s="17" t="s">
        <v>94</v>
      </c>
      <c r="K34" s="9" t="s">
        <v>14</v>
      </c>
      <c r="L34" s="10">
        <f t="shared" ref="L34:L65" si="5">H34/G34</f>
        <v>4.5454545454545459</v>
      </c>
      <c r="M34" s="10">
        <f t="shared" ref="M34:M65" si="6">I34/G34</f>
        <v>11.363636363636363</v>
      </c>
      <c r="N34" s="19">
        <f t="shared" ref="N34:N65" si="7">I34-H34</f>
        <v>300</v>
      </c>
      <c r="O34" s="19">
        <f t="shared" ref="O34:O65" si="8">N34/2</f>
        <v>150</v>
      </c>
      <c r="P34" s="19">
        <f t="shared" ref="P34:P65" si="9">O34</f>
        <v>150</v>
      </c>
    </row>
    <row r="35" spans="1:16" ht="15.6" x14ac:dyDescent="0.3">
      <c r="A35" s="6">
        <v>34</v>
      </c>
      <c r="B35" s="15" t="s">
        <v>240</v>
      </c>
      <c r="C35" s="8" t="s">
        <v>241</v>
      </c>
      <c r="D35" s="17" t="s">
        <v>41</v>
      </c>
      <c r="E35" s="17" t="s">
        <v>13</v>
      </c>
      <c r="F35" s="17" t="s">
        <v>377</v>
      </c>
      <c r="G35" s="37">
        <v>8.5291666666666668</v>
      </c>
      <c r="H35" s="20">
        <v>200</v>
      </c>
      <c r="I35" s="38">
        <v>400</v>
      </c>
      <c r="J35" s="17" t="s">
        <v>242</v>
      </c>
      <c r="K35" s="9" t="s">
        <v>14</v>
      </c>
      <c r="L35" s="10">
        <f t="shared" si="5"/>
        <v>23.448949682462139</v>
      </c>
      <c r="M35" s="10">
        <f t="shared" si="6"/>
        <v>46.897899364924278</v>
      </c>
      <c r="N35" s="19">
        <f t="shared" si="7"/>
        <v>200</v>
      </c>
      <c r="O35" s="19">
        <f t="shared" si="8"/>
        <v>100</v>
      </c>
      <c r="P35" s="19">
        <f t="shared" si="9"/>
        <v>100</v>
      </c>
    </row>
    <row r="36" spans="1:16" ht="15.6" x14ac:dyDescent="0.3">
      <c r="A36" s="6">
        <v>35</v>
      </c>
      <c r="B36" s="15" t="s">
        <v>243</v>
      </c>
      <c r="C36" s="8" t="s">
        <v>244</v>
      </c>
      <c r="D36" s="17" t="s">
        <v>41</v>
      </c>
      <c r="E36" s="17" t="s">
        <v>13</v>
      </c>
      <c r="F36" s="17" t="s">
        <v>377</v>
      </c>
      <c r="G36" s="37">
        <v>9.0254545454545454</v>
      </c>
      <c r="H36" s="20">
        <v>200</v>
      </c>
      <c r="I36" s="38">
        <v>400</v>
      </c>
      <c r="J36" s="17" t="s">
        <v>242</v>
      </c>
      <c r="K36" s="9" t="s">
        <v>14</v>
      </c>
      <c r="L36" s="10">
        <f t="shared" si="5"/>
        <v>22.159548751007254</v>
      </c>
      <c r="M36" s="10">
        <f t="shared" si="6"/>
        <v>44.319097502014507</v>
      </c>
      <c r="N36" s="19">
        <f t="shared" si="7"/>
        <v>200</v>
      </c>
      <c r="O36" s="19">
        <f t="shared" si="8"/>
        <v>100</v>
      </c>
      <c r="P36" s="19">
        <f t="shared" si="9"/>
        <v>100</v>
      </c>
    </row>
    <row r="37" spans="1:16" ht="15.6" x14ac:dyDescent="0.3">
      <c r="A37" s="6">
        <v>36</v>
      </c>
      <c r="B37" s="15" t="s">
        <v>259</v>
      </c>
      <c r="C37" s="39" t="s">
        <v>260</v>
      </c>
      <c r="D37" s="17" t="s">
        <v>41</v>
      </c>
      <c r="E37" s="17" t="s">
        <v>13</v>
      </c>
      <c r="F37" s="17" t="s">
        <v>377</v>
      </c>
      <c r="G37" s="37">
        <v>11.231764705882354</v>
      </c>
      <c r="H37" s="20">
        <v>200</v>
      </c>
      <c r="I37" s="38">
        <v>400</v>
      </c>
      <c r="J37" s="17" t="s">
        <v>242</v>
      </c>
      <c r="K37" s="9" t="s">
        <v>14</v>
      </c>
      <c r="L37" s="10">
        <f t="shared" si="5"/>
        <v>17.806640829579973</v>
      </c>
      <c r="M37" s="10">
        <f t="shared" si="6"/>
        <v>35.613281659159945</v>
      </c>
      <c r="N37" s="19">
        <f t="shared" si="7"/>
        <v>200</v>
      </c>
      <c r="O37" s="19">
        <f t="shared" si="8"/>
        <v>100</v>
      </c>
      <c r="P37" s="19">
        <f t="shared" si="9"/>
        <v>100</v>
      </c>
    </row>
    <row r="38" spans="1:16" ht="15.6" x14ac:dyDescent="0.3">
      <c r="A38" s="6">
        <v>37</v>
      </c>
      <c r="B38" s="15" t="s">
        <v>261</v>
      </c>
      <c r="C38" s="39" t="s">
        <v>262</v>
      </c>
      <c r="D38" s="17" t="s">
        <v>41</v>
      </c>
      <c r="E38" s="17" t="s">
        <v>13</v>
      </c>
      <c r="F38" s="17" t="s">
        <v>377</v>
      </c>
      <c r="G38" s="37">
        <v>13.580952380952381</v>
      </c>
      <c r="H38" s="20">
        <v>200</v>
      </c>
      <c r="I38" s="38">
        <v>400</v>
      </c>
      <c r="J38" s="17" t="s">
        <v>242</v>
      </c>
      <c r="K38" s="9" t="s">
        <v>14</v>
      </c>
      <c r="L38" s="10">
        <f t="shared" si="5"/>
        <v>14.726507713884994</v>
      </c>
      <c r="M38" s="10">
        <f t="shared" si="6"/>
        <v>29.453015427769987</v>
      </c>
      <c r="N38" s="19">
        <f t="shared" si="7"/>
        <v>200</v>
      </c>
      <c r="O38" s="19">
        <f t="shared" si="8"/>
        <v>100</v>
      </c>
      <c r="P38" s="19">
        <f t="shared" si="9"/>
        <v>100</v>
      </c>
    </row>
    <row r="39" spans="1:16" ht="15.6" x14ac:dyDescent="0.3">
      <c r="A39" s="6">
        <v>38</v>
      </c>
      <c r="B39" s="15" t="s">
        <v>263</v>
      </c>
      <c r="C39" s="18" t="s">
        <v>264</v>
      </c>
      <c r="D39" s="17" t="s">
        <v>41</v>
      </c>
      <c r="E39" s="17" t="s">
        <v>13</v>
      </c>
      <c r="F39" s="17" t="s">
        <v>377</v>
      </c>
      <c r="G39" s="37">
        <v>15.420454545454545</v>
      </c>
      <c r="H39" s="20">
        <v>200</v>
      </c>
      <c r="I39" s="38">
        <v>400</v>
      </c>
      <c r="J39" s="17" t="s">
        <v>242</v>
      </c>
      <c r="K39" s="9" t="s">
        <v>14</v>
      </c>
      <c r="L39" s="10">
        <f t="shared" si="5"/>
        <v>12.969786293294032</v>
      </c>
      <c r="M39" s="10">
        <f t="shared" si="6"/>
        <v>25.939572586588064</v>
      </c>
      <c r="N39" s="19">
        <f t="shared" si="7"/>
        <v>200</v>
      </c>
      <c r="O39" s="19">
        <f t="shared" si="8"/>
        <v>100</v>
      </c>
      <c r="P39" s="19">
        <f t="shared" si="9"/>
        <v>100</v>
      </c>
    </row>
    <row r="40" spans="1:16" ht="15.6" x14ac:dyDescent="0.3">
      <c r="A40" s="6">
        <v>39</v>
      </c>
      <c r="B40" s="15" t="s">
        <v>265</v>
      </c>
      <c r="C40" s="18" t="s">
        <v>266</v>
      </c>
      <c r="D40" s="17" t="s">
        <v>41</v>
      </c>
      <c r="E40" s="17" t="s">
        <v>13</v>
      </c>
      <c r="F40" s="17" t="s">
        <v>377</v>
      </c>
      <c r="G40" s="37">
        <v>17.111666666666668</v>
      </c>
      <c r="H40" s="20">
        <v>200</v>
      </c>
      <c r="I40" s="38">
        <v>400</v>
      </c>
      <c r="J40" s="17" t="s">
        <v>242</v>
      </c>
      <c r="K40" s="9" t="s">
        <v>14</v>
      </c>
      <c r="L40" s="10">
        <f t="shared" si="5"/>
        <v>11.68793220999318</v>
      </c>
      <c r="M40" s="10">
        <f t="shared" si="6"/>
        <v>23.37586441998636</v>
      </c>
      <c r="N40" s="22">
        <f t="shared" si="7"/>
        <v>200</v>
      </c>
      <c r="O40" s="22">
        <f t="shared" si="8"/>
        <v>100</v>
      </c>
      <c r="P40" s="22">
        <f t="shared" si="9"/>
        <v>100</v>
      </c>
    </row>
    <row r="41" spans="1:16" ht="15.6" x14ac:dyDescent="0.3">
      <c r="A41" s="6">
        <v>40</v>
      </c>
      <c r="B41" s="15" t="s">
        <v>267</v>
      </c>
      <c r="C41" s="18" t="s">
        <v>268</v>
      </c>
      <c r="D41" s="17" t="s">
        <v>41</v>
      </c>
      <c r="E41" s="17" t="s">
        <v>13</v>
      </c>
      <c r="F41" s="17" t="s">
        <v>377</v>
      </c>
      <c r="G41" s="37">
        <v>20.368181818181817</v>
      </c>
      <c r="H41" s="20">
        <v>200</v>
      </c>
      <c r="I41" s="38">
        <v>400</v>
      </c>
      <c r="J41" s="17" t="s">
        <v>242</v>
      </c>
      <c r="K41" s="9" t="s">
        <v>14</v>
      </c>
      <c r="L41" s="10">
        <f t="shared" si="5"/>
        <v>9.8192367775050222</v>
      </c>
      <c r="M41" s="10">
        <f t="shared" si="6"/>
        <v>19.638473555010044</v>
      </c>
      <c r="N41" s="22">
        <f t="shared" si="7"/>
        <v>200</v>
      </c>
      <c r="O41" s="22">
        <f t="shared" si="8"/>
        <v>100</v>
      </c>
      <c r="P41" s="22">
        <f t="shared" si="9"/>
        <v>100</v>
      </c>
    </row>
    <row r="42" spans="1:16" ht="15.6" x14ac:dyDescent="0.3">
      <c r="A42" s="6">
        <v>41</v>
      </c>
      <c r="B42" s="15" t="s">
        <v>269</v>
      </c>
      <c r="C42" s="8" t="s">
        <v>270</v>
      </c>
      <c r="D42" s="17" t="s">
        <v>41</v>
      </c>
      <c r="E42" s="17" t="s">
        <v>13</v>
      </c>
      <c r="F42" s="17" t="s">
        <v>377</v>
      </c>
      <c r="G42" s="37">
        <v>23.3</v>
      </c>
      <c r="H42" s="20">
        <v>200</v>
      </c>
      <c r="I42" s="38">
        <v>400</v>
      </c>
      <c r="J42" s="17" t="s">
        <v>242</v>
      </c>
      <c r="K42" s="9" t="s">
        <v>14</v>
      </c>
      <c r="L42" s="10">
        <f t="shared" si="5"/>
        <v>8.5836909871244629</v>
      </c>
      <c r="M42" s="10">
        <f t="shared" si="6"/>
        <v>17.167381974248926</v>
      </c>
      <c r="N42" s="19">
        <f t="shared" si="7"/>
        <v>200</v>
      </c>
      <c r="O42" s="19">
        <f t="shared" si="8"/>
        <v>100</v>
      </c>
      <c r="P42" s="19">
        <f t="shared" si="9"/>
        <v>100</v>
      </c>
    </row>
    <row r="43" spans="1:16" ht="15.6" x14ac:dyDescent="0.3">
      <c r="A43" s="6">
        <v>42</v>
      </c>
      <c r="B43" s="15" t="s">
        <v>271</v>
      </c>
      <c r="C43" s="18" t="s">
        <v>272</v>
      </c>
      <c r="D43" s="17" t="s">
        <v>41</v>
      </c>
      <c r="E43" s="17" t="s">
        <v>13</v>
      </c>
      <c r="F43" s="17" t="s">
        <v>377</v>
      </c>
      <c r="G43" s="37">
        <v>24</v>
      </c>
      <c r="H43" s="20">
        <v>200</v>
      </c>
      <c r="I43" s="38">
        <v>400</v>
      </c>
      <c r="J43" s="17" t="s">
        <v>242</v>
      </c>
      <c r="K43" s="9" t="s">
        <v>14</v>
      </c>
      <c r="L43" s="10">
        <f t="shared" si="5"/>
        <v>8.3333333333333339</v>
      </c>
      <c r="M43" s="10">
        <f t="shared" si="6"/>
        <v>16.666666666666668</v>
      </c>
      <c r="N43" s="22">
        <f t="shared" si="7"/>
        <v>200</v>
      </c>
      <c r="O43" s="22">
        <f t="shared" si="8"/>
        <v>100</v>
      </c>
      <c r="P43" s="22">
        <f t="shared" si="9"/>
        <v>100</v>
      </c>
    </row>
    <row r="44" spans="1:16" ht="15.6" x14ac:dyDescent="0.3">
      <c r="A44" s="6">
        <v>43</v>
      </c>
      <c r="B44" s="15" t="s">
        <v>273</v>
      </c>
      <c r="C44" s="16" t="s">
        <v>274</v>
      </c>
      <c r="D44" s="17" t="s">
        <v>38</v>
      </c>
      <c r="E44" s="17" t="s">
        <v>13</v>
      </c>
      <c r="F44" s="17" t="s">
        <v>377</v>
      </c>
      <c r="G44" s="15">
        <v>66</v>
      </c>
      <c r="H44" s="20">
        <v>200</v>
      </c>
      <c r="I44" s="15">
        <v>600</v>
      </c>
      <c r="J44" s="17" t="s">
        <v>150</v>
      </c>
      <c r="K44" s="9" t="s">
        <v>14</v>
      </c>
      <c r="L44" s="10">
        <f t="shared" si="5"/>
        <v>3.0303030303030303</v>
      </c>
      <c r="M44" s="10">
        <f t="shared" si="6"/>
        <v>9.0909090909090917</v>
      </c>
      <c r="N44" s="19">
        <f t="shared" si="7"/>
        <v>400</v>
      </c>
      <c r="O44" s="19">
        <f t="shared" si="8"/>
        <v>200</v>
      </c>
      <c r="P44" s="19">
        <f t="shared" si="9"/>
        <v>200</v>
      </c>
    </row>
    <row r="45" spans="1:16" ht="15.6" x14ac:dyDescent="0.3">
      <c r="A45" s="6">
        <v>44</v>
      </c>
      <c r="B45" s="9" t="s">
        <v>275</v>
      </c>
      <c r="C45" s="25" t="s">
        <v>276</v>
      </c>
      <c r="D45" s="11" t="s">
        <v>38</v>
      </c>
      <c r="E45" s="17" t="s">
        <v>13</v>
      </c>
      <c r="F45" s="17" t="s">
        <v>377</v>
      </c>
      <c r="G45" s="21">
        <v>45</v>
      </c>
      <c r="H45" s="20">
        <v>200</v>
      </c>
      <c r="I45" s="15">
        <v>500</v>
      </c>
      <c r="J45" s="12" t="s">
        <v>123</v>
      </c>
      <c r="K45" s="9" t="s">
        <v>14</v>
      </c>
      <c r="L45" s="10">
        <f t="shared" si="5"/>
        <v>4.4444444444444446</v>
      </c>
      <c r="M45" s="10">
        <f t="shared" si="6"/>
        <v>11.111111111111111</v>
      </c>
      <c r="N45" s="22">
        <f t="shared" si="7"/>
        <v>300</v>
      </c>
      <c r="O45" s="22">
        <f t="shared" si="8"/>
        <v>150</v>
      </c>
      <c r="P45" s="22">
        <f t="shared" si="9"/>
        <v>150</v>
      </c>
    </row>
    <row r="46" spans="1:16" ht="15.6" x14ac:dyDescent="0.3">
      <c r="A46" s="6">
        <v>45</v>
      </c>
      <c r="B46" s="15" t="s">
        <v>277</v>
      </c>
      <c r="C46" s="18" t="s">
        <v>278</v>
      </c>
      <c r="D46" s="17" t="s">
        <v>41</v>
      </c>
      <c r="E46" s="17" t="s">
        <v>13</v>
      </c>
      <c r="F46" s="17" t="s">
        <v>377</v>
      </c>
      <c r="G46" s="37">
        <v>27.5</v>
      </c>
      <c r="H46" s="20">
        <v>200</v>
      </c>
      <c r="I46" s="38">
        <v>400</v>
      </c>
      <c r="J46" s="17" t="s">
        <v>242</v>
      </c>
      <c r="K46" s="9" t="s">
        <v>14</v>
      </c>
      <c r="L46" s="10">
        <f t="shared" si="5"/>
        <v>7.2727272727272725</v>
      </c>
      <c r="M46" s="10">
        <f t="shared" si="6"/>
        <v>14.545454545454545</v>
      </c>
      <c r="N46" s="22">
        <f t="shared" si="7"/>
        <v>200</v>
      </c>
      <c r="O46" s="22">
        <f t="shared" si="8"/>
        <v>100</v>
      </c>
      <c r="P46" s="22">
        <f t="shared" si="9"/>
        <v>100</v>
      </c>
    </row>
    <row r="47" spans="1:16" ht="15.6" x14ac:dyDescent="0.3">
      <c r="A47" s="6">
        <v>46</v>
      </c>
      <c r="B47" s="15" t="s">
        <v>279</v>
      </c>
      <c r="C47" s="18" t="s">
        <v>280</v>
      </c>
      <c r="D47" s="17" t="s">
        <v>41</v>
      </c>
      <c r="E47" s="17" t="s">
        <v>13</v>
      </c>
      <c r="F47" s="17" t="s">
        <v>377</v>
      </c>
      <c r="G47" s="37">
        <v>29.92</v>
      </c>
      <c r="H47" s="20">
        <v>200</v>
      </c>
      <c r="I47" s="38">
        <v>400</v>
      </c>
      <c r="J47" s="17" t="s">
        <v>242</v>
      </c>
      <c r="K47" s="9" t="s">
        <v>14</v>
      </c>
      <c r="L47" s="10">
        <f t="shared" si="5"/>
        <v>6.6844919786096249</v>
      </c>
      <c r="M47" s="10">
        <f t="shared" si="6"/>
        <v>13.36898395721925</v>
      </c>
      <c r="N47" s="19">
        <f t="shared" si="7"/>
        <v>200</v>
      </c>
      <c r="O47" s="19">
        <f t="shared" si="8"/>
        <v>100</v>
      </c>
      <c r="P47" s="19">
        <f t="shared" si="9"/>
        <v>100</v>
      </c>
    </row>
    <row r="48" spans="1:16" ht="15.6" x14ac:dyDescent="0.3">
      <c r="A48" s="6">
        <v>47</v>
      </c>
      <c r="B48" s="15" t="s">
        <v>323</v>
      </c>
      <c r="C48" s="8" t="s">
        <v>324</v>
      </c>
      <c r="D48" s="17" t="s">
        <v>41</v>
      </c>
      <c r="E48" s="17" t="s">
        <v>13</v>
      </c>
      <c r="F48" s="17" t="s">
        <v>377</v>
      </c>
      <c r="G48" s="37">
        <v>39.611111111111114</v>
      </c>
      <c r="H48" s="20">
        <v>200</v>
      </c>
      <c r="I48" s="38">
        <v>400</v>
      </c>
      <c r="J48" s="17" t="s">
        <v>242</v>
      </c>
      <c r="K48" s="9" t="s">
        <v>14</v>
      </c>
      <c r="L48" s="10">
        <f t="shared" si="5"/>
        <v>5.0490883590462827</v>
      </c>
      <c r="M48" s="10">
        <f t="shared" si="6"/>
        <v>10.098176718092565</v>
      </c>
      <c r="N48" s="19">
        <f t="shared" si="7"/>
        <v>200</v>
      </c>
      <c r="O48" s="19">
        <f t="shared" si="8"/>
        <v>100</v>
      </c>
      <c r="P48" s="19">
        <f t="shared" si="9"/>
        <v>100</v>
      </c>
    </row>
    <row r="49" spans="1:16" ht="15.6" x14ac:dyDescent="0.3">
      <c r="A49" s="6">
        <v>48</v>
      </c>
      <c r="B49" s="15" t="s">
        <v>327</v>
      </c>
      <c r="C49" s="8" t="s">
        <v>328</v>
      </c>
      <c r="D49" s="17" t="s">
        <v>41</v>
      </c>
      <c r="E49" s="17" t="s">
        <v>13</v>
      </c>
      <c r="F49" s="17" t="s">
        <v>377</v>
      </c>
      <c r="G49" s="37">
        <v>43.61851851851852</v>
      </c>
      <c r="H49" s="20">
        <v>200</v>
      </c>
      <c r="I49" s="38">
        <v>500</v>
      </c>
      <c r="J49" s="17" t="s">
        <v>242</v>
      </c>
      <c r="K49" s="9" t="s">
        <v>14</v>
      </c>
      <c r="L49" s="10">
        <f t="shared" si="5"/>
        <v>4.5852084571622651</v>
      </c>
      <c r="M49" s="10">
        <f t="shared" si="6"/>
        <v>11.463021142905664</v>
      </c>
      <c r="N49" s="22">
        <f t="shared" si="7"/>
        <v>300</v>
      </c>
      <c r="O49" s="22">
        <f t="shared" si="8"/>
        <v>150</v>
      </c>
      <c r="P49" s="22">
        <f t="shared" si="9"/>
        <v>150</v>
      </c>
    </row>
    <row r="50" spans="1:16" ht="15.6" x14ac:dyDescent="0.3">
      <c r="A50" s="6">
        <v>49</v>
      </c>
      <c r="B50" s="15" t="s">
        <v>329</v>
      </c>
      <c r="C50" s="18" t="s">
        <v>330</v>
      </c>
      <c r="D50" s="17" t="s">
        <v>41</v>
      </c>
      <c r="E50" s="17" t="s">
        <v>13</v>
      </c>
      <c r="F50" s="17" t="s">
        <v>377</v>
      </c>
      <c r="G50" s="37">
        <v>49.78857142857143</v>
      </c>
      <c r="H50" s="20">
        <v>200</v>
      </c>
      <c r="I50" s="38">
        <v>500</v>
      </c>
      <c r="J50" s="17" t="s">
        <v>242</v>
      </c>
      <c r="K50" s="9" t="s">
        <v>14</v>
      </c>
      <c r="L50" s="10">
        <f t="shared" si="5"/>
        <v>4.0169861127051529</v>
      </c>
      <c r="M50" s="10">
        <f t="shared" si="6"/>
        <v>10.042465281762883</v>
      </c>
      <c r="N50" s="19">
        <f t="shared" si="7"/>
        <v>300</v>
      </c>
      <c r="O50" s="19">
        <f t="shared" si="8"/>
        <v>150</v>
      </c>
      <c r="P50" s="19">
        <f t="shared" si="9"/>
        <v>150</v>
      </c>
    </row>
    <row r="51" spans="1:16" ht="15.6" x14ac:dyDescent="0.3">
      <c r="A51" s="6">
        <v>50</v>
      </c>
      <c r="B51" s="15" t="s">
        <v>331</v>
      </c>
      <c r="C51" s="8" t="s">
        <v>332</v>
      </c>
      <c r="D51" s="17" t="s">
        <v>41</v>
      </c>
      <c r="E51" s="17" t="s">
        <v>13</v>
      </c>
      <c r="F51" s="17" t="s">
        <v>377</v>
      </c>
      <c r="G51" s="37">
        <v>55.686666666666667</v>
      </c>
      <c r="H51" s="20">
        <v>200</v>
      </c>
      <c r="I51" s="38">
        <v>500</v>
      </c>
      <c r="J51" s="17" t="s">
        <v>242</v>
      </c>
      <c r="K51" s="9" t="s">
        <v>14</v>
      </c>
      <c r="L51" s="10">
        <f t="shared" si="5"/>
        <v>3.591524003352089</v>
      </c>
      <c r="M51" s="10">
        <f t="shared" si="6"/>
        <v>8.978810008380222</v>
      </c>
      <c r="N51" s="19">
        <f t="shared" si="7"/>
        <v>300</v>
      </c>
      <c r="O51" s="19">
        <f t="shared" si="8"/>
        <v>150</v>
      </c>
      <c r="P51" s="19">
        <f t="shared" si="9"/>
        <v>150</v>
      </c>
    </row>
    <row r="52" spans="1:16" ht="15.75" customHeight="1" x14ac:dyDescent="0.3">
      <c r="A52" s="6">
        <v>51</v>
      </c>
      <c r="B52" s="9" t="s">
        <v>451</v>
      </c>
      <c r="C52" s="12" t="s">
        <v>452</v>
      </c>
      <c r="D52" s="17" t="s">
        <v>41</v>
      </c>
      <c r="E52" s="17" t="s">
        <v>453</v>
      </c>
      <c r="F52" s="17" t="s">
        <v>377</v>
      </c>
      <c r="G52" s="9">
        <v>65</v>
      </c>
      <c r="H52" s="9">
        <v>200</v>
      </c>
      <c r="I52" s="9">
        <v>500</v>
      </c>
      <c r="J52" s="12" t="s">
        <v>242</v>
      </c>
      <c r="K52" s="9" t="s">
        <v>14</v>
      </c>
      <c r="L52" s="10">
        <f t="shared" si="5"/>
        <v>3.0769230769230771</v>
      </c>
      <c r="M52" s="10">
        <f t="shared" si="6"/>
        <v>7.6923076923076925</v>
      </c>
      <c r="N52" s="9">
        <f t="shared" si="7"/>
        <v>300</v>
      </c>
      <c r="O52" s="9">
        <f t="shared" si="8"/>
        <v>150</v>
      </c>
      <c r="P52" s="9">
        <f t="shared" si="9"/>
        <v>150</v>
      </c>
    </row>
    <row r="53" spans="1:16" ht="15.6" x14ac:dyDescent="0.3">
      <c r="A53" s="6">
        <v>52</v>
      </c>
      <c r="B53" s="7" t="s">
        <v>113</v>
      </c>
      <c r="C53" s="8" t="s">
        <v>114</v>
      </c>
      <c r="D53" s="17" t="s">
        <v>38</v>
      </c>
      <c r="E53" s="17" t="s">
        <v>13</v>
      </c>
      <c r="F53" s="17" t="s">
        <v>377</v>
      </c>
      <c r="G53" s="23">
        <v>68</v>
      </c>
      <c r="H53" s="20">
        <v>250</v>
      </c>
      <c r="I53" s="20">
        <v>600</v>
      </c>
      <c r="J53" s="17" t="s">
        <v>68</v>
      </c>
      <c r="K53" s="9" t="s">
        <v>14</v>
      </c>
      <c r="L53" s="10">
        <f t="shared" si="5"/>
        <v>3.6764705882352939</v>
      </c>
      <c r="M53" s="10">
        <f t="shared" si="6"/>
        <v>8.8235294117647065</v>
      </c>
      <c r="N53" s="19">
        <f t="shared" si="7"/>
        <v>350</v>
      </c>
      <c r="O53" s="19">
        <f t="shared" si="8"/>
        <v>175</v>
      </c>
      <c r="P53" s="19">
        <f t="shared" si="9"/>
        <v>175</v>
      </c>
    </row>
    <row r="54" spans="1:16" ht="15.6" x14ac:dyDescent="0.3">
      <c r="A54" s="6">
        <v>53</v>
      </c>
      <c r="B54" s="28" t="s">
        <v>148</v>
      </c>
      <c r="C54" s="29" t="s">
        <v>149</v>
      </c>
      <c r="D54" s="11" t="s">
        <v>38</v>
      </c>
      <c r="E54" s="17" t="s">
        <v>13</v>
      </c>
      <c r="F54" s="17" t="s">
        <v>377</v>
      </c>
      <c r="G54" s="28">
        <v>68</v>
      </c>
      <c r="H54" s="20">
        <v>250</v>
      </c>
      <c r="I54" s="15">
        <v>600</v>
      </c>
      <c r="J54" s="12" t="s">
        <v>150</v>
      </c>
      <c r="K54" s="9" t="s">
        <v>14</v>
      </c>
      <c r="L54" s="10">
        <f t="shared" si="5"/>
        <v>3.6764705882352939</v>
      </c>
      <c r="M54" s="10">
        <f t="shared" si="6"/>
        <v>8.8235294117647065</v>
      </c>
      <c r="N54" s="19">
        <f t="shared" si="7"/>
        <v>350</v>
      </c>
      <c r="O54" s="19">
        <f t="shared" si="8"/>
        <v>175</v>
      </c>
      <c r="P54" s="19">
        <f t="shared" si="9"/>
        <v>175</v>
      </c>
    </row>
    <row r="55" spans="1:16" ht="15.6" x14ac:dyDescent="0.3">
      <c r="A55" s="6">
        <v>54</v>
      </c>
      <c r="B55" s="15" t="s">
        <v>190</v>
      </c>
      <c r="C55" s="16" t="s">
        <v>191</v>
      </c>
      <c r="D55" s="17" t="s">
        <v>38</v>
      </c>
      <c r="E55" s="17" t="s">
        <v>13</v>
      </c>
      <c r="F55" s="17" t="s">
        <v>377</v>
      </c>
      <c r="G55" s="15">
        <v>79.099999999999994</v>
      </c>
      <c r="H55" s="20">
        <v>250</v>
      </c>
      <c r="I55" s="15">
        <v>700</v>
      </c>
      <c r="J55" s="17" t="s">
        <v>68</v>
      </c>
      <c r="K55" s="9" t="s">
        <v>14</v>
      </c>
      <c r="L55" s="10">
        <f t="shared" si="5"/>
        <v>3.1605562579013911</v>
      </c>
      <c r="M55" s="10">
        <f t="shared" si="6"/>
        <v>8.8495575221238951</v>
      </c>
      <c r="N55" s="19">
        <f t="shared" si="7"/>
        <v>450</v>
      </c>
      <c r="O55" s="19">
        <f t="shared" si="8"/>
        <v>225</v>
      </c>
      <c r="P55" s="19">
        <f t="shared" si="9"/>
        <v>225</v>
      </c>
    </row>
    <row r="56" spans="1:16" ht="15.6" x14ac:dyDescent="0.3">
      <c r="A56" s="6">
        <v>55</v>
      </c>
      <c r="B56" s="15" t="s">
        <v>281</v>
      </c>
      <c r="C56" s="16" t="s">
        <v>282</v>
      </c>
      <c r="D56" s="17" t="s">
        <v>283</v>
      </c>
      <c r="E56" s="17" t="s">
        <v>30</v>
      </c>
      <c r="F56" s="17" t="s">
        <v>377</v>
      </c>
      <c r="G56" s="15">
        <v>25</v>
      </c>
      <c r="H56" s="15">
        <v>250</v>
      </c>
      <c r="I56" s="15">
        <v>500</v>
      </c>
      <c r="J56" s="17" t="s">
        <v>284</v>
      </c>
      <c r="K56" s="9" t="s">
        <v>14</v>
      </c>
      <c r="L56" s="10">
        <f t="shared" si="5"/>
        <v>10</v>
      </c>
      <c r="M56" s="10">
        <f t="shared" si="6"/>
        <v>20</v>
      </c>
      <c r="N56" s="19">
        <f t="shared" si="7"/>
        <v>250</v>
      </c>
      <c r="O56" s="19">
        <f t="shared" si="8"/>
        <v>125</v>
      </c>
      <c r="P56" s="19">
        <f t="shared" si="9"/>
        <v>125</v>
      </c>
    </row>
    <row r="57" spans="1:16" ht="15.6" x14ac:dyDescent="0.3">
      <c r="A57" s="6">
        <v>56</v>
      </c>
      <c r="B57" s="15" t="s">
        <v>285</v>
      </c>
      <c r="C57" s="16" t="s">
        <v>286</v>
      </c>
      <c r="D57" s="17" t="s">
        <v>283</v>
      </c>
      <c r="E57" s="17" t="s">
        <v>30</v>
      </c>
      <c r="F57" s="17" t="s">
        <v>377</v>
      </c>
      <c r="G57" s="15">
        <v>25</v>
      </c>
      <c r="H57" s="15">
        <v>250</v>
      </c>
      <c r="I57" s="15">
        <v>500</v>
      </c>
      <c r="J57" s="17" t="s">
        <v>284</v>
      </c>
      <c r="K57" s="9" t="s">
        <v>14</v>
      </c>
      <c r="L57" s="10">
        <f t="shared" si="5"/>
        <v>10</v>
      </c>
      <c r="M57" s="10">
        <f t="shared" si="6"/>
        <v>20</v>
      </c>
      <c r="N57" s="19">
        <f t="shared" si="7"/>
        <v>250</v>
      </c>
      <c r="O57" s="19">
        <f t="shared" si="8"/>
        <v>125</v>
      </c>
      <c r="P57" s="19">
        <f t="shared" si="9"/>
        <v>125</v>
      </c>
    </row>
    <row r="58" spans="1:16" ht="15.6" x14ac:dyDescent="0.3">
      <c r="A58" s="6">
        <v>57</v>
      </c>
      <c r="B58" s="15" t="s">
        <v>287</v>
      </c>
      <c r="C58" s="16" t="s">
        <v>288</v>
      </c>
      <c r="D58" s="17" t="s">
        <v>283</v>
      </c>
      <c r="E58" s="17" t="s">
        <v>30</v>
      </c>
      <c r="F58" s="17" t="s">
        <v>377</v>
      </c>
      <c r="G58" s="15">
        <v>25</v>
      </c>
      <c r="H58" s="15">
        <v>250</v>
      </c>
      <c r="I58" s="15">
        <v>500</v>
      </c>
      <c r="J58" s="17" t="s">
        <v>284</v>
      </c>
      <c r="K58" s="9" t="s">
        <v>14</v>
      </c>
      <c r="L58" s="10">
        <f t="shared" si="5"/>
        <v>10</v>
      </c>
      <c r="M58" s="10">
        <f t="shared" si="6"/>
        <v>20</v>
      </c>
      <c r="N58" s="19">
        <f t="shared" si="7"/>
        <v>250</v>
      </c>
      <c r="O58" s="19">
        <f t="shared" si="8"/>
        <v>125</v>
      </c>
      <c r="P58" s="19">
        <f t="shared" si="9"/>
        <v>125</v>
      </c>
    </row>
    <row r="59" spans="1:16" ht="15.6" x14ac:dyDescent="0.3">
      <c r="A59" s="6">
        <v>58</v>
      </c>
      <c r="B59" s="15" t="s">
        <v>289</v>
      </c>
      <c r="C59" s="16" t="s">
        <v>290</v>
      </c>
      <c r="D59" s="17" t="s">
        <v>283</v>
      </c>
      <c r="E59" s="17" t="s">
        <v>30</v>
      </c>
      <c r="F59" s="17" t="s">
        <v>377</v>
      </c>
      <c r="G59" s="15">
        <v>25</v>
      </c>
      <c r="H59" s="15">
        <v>250</v>
      </c>
      <c r="I59" s="15">
        <v>500</v>
      </c>
      <c r="J59" s="17" t="s">
        <v>284</v>
      </c>
      <c r="K59" s="9" t="s">
        <v>14</v>
      </c>
      <c r="L59" s="10">
        <f t="shared" si="5"/>
        <v>10</v>
      </c>
      <c r="M59" s="10">
        <f t="shared" si="6"/>
        <v>20</v>
      </c>
      <c r="N59" s="22">
        <f t="shared" si="7"/>
        <v>250</v>
      </c>
      <c r="O59" s="22">
        <f t="shared" si="8"/>
        <v>125</v>
      </c>
      <c r="P59" s="22">
        <f t="shared" si="9"/>
        <v>125</v>
      </c>
    </row>
    <row r="60" spans="1:16" ht="15.6" x14ac:dyDescent="0.3">
      <c r="A60" s="6">
        <v>59</v>
      </c>
      <c r="B60" s="15" t="s">
        <v>291</v>
      </c>
      <c r="C60" s="16" t="s">
        <v>292</v>
      </c>
      <c r="D60" s="17" t="s">
        <v>283</v>
      </c>
      <c r="E60" s="17" t="s">
        <v>30</v>
      </c>
      <c r="F60" s="17" t="s">
        <v>377</v>
      </c>
      <c r="G60" s="15">
        <v>25</v>
      </c>
      <c r="H60" s="15">
        <v>250</v>
      </c>
      <c r="I60" s="15">
        <v>500</v>
      </c>
      <c r="J60" s="17" t="s">
        <v>284</v>
      </c>
      <c r="K60" s="9" t="s">
        <v>14</v>
      </c>
      <c r="L60" s="10">
        <f t="shared" si="5"/>
        <v>10</v>
      </c>
      <c r="M60" s="10">
        <f t="shared" si="6"/>
        <v>20</v>
      </c>
      <c r="N60" s="19">
        <f t="shared" si="7"/>
        <v>250</v>
      </c>
      <c r="O60" s="19">
        <f t="shared" si="8"/>
        <v>125</v>
      </c>
      <c r="P60" s="19">
        <f t="shared" si="9"/>
        <v>125</v>
      </c>
    </row>
    <row r="61" spans="1:16" ht="15.6" x14ac:dyDescent="0.3">
      <c r="A61" s="6">
        <v>60</v>
      </c>
      <c r="B61" s="15" t="s">
        <v>293</v>
      </c>
      <c r="C61" s="16" t="s">
        <v>294</v>
      </c>
      <c r="D61" s="17" t="s">
        <v>283</v>
      </c>
      <c r="E61" s="17" t="s">
        <v>30</v>
      </c>
      <c r="F61" s="17" t="s">
        <v>377</v>
      </c>
      <c r="G61" s="15">
        <v>25</v>
      </c>
      <c r="H61" s="15">
        <v>250</v>
      </c>
      <c r="I61" s="15">
        <v>500</v>
      </c>
      <c r="J61" s="17" t="s">
        <v>284</v>
      </c>
      <c r="K61" s="9" t="s">
        <v>14</v>
      </c>
      <c r="L61" s="10">
        <f t="shared" si="5"/>
        <v>10</v>
      </c>
      <c r="M61" s="10">
        <f t="shared" si="6"/>
        <v>20</v>
      </c>
      <c r="N61" s="19">
        <f t="shared" si="7"/>
        <v>250</v>
      </c>
      <c r="O61" s="19">
        <f t="shared" si="8"/>
        <v>125</v>
      </c>
      <c r="P61" s="19">
        <f t="shared" si="9"/>
        <v>125</v>
      </c>
    </row>
    <row r="62" spans="1:16" ht="15.6" x14ac:dyDescent="0.3">
      <c r="A62" s="6">
        <v>61</v>
      </c>
      <c r="B62" s="15" t="s">
        <v>295</v>
      </c>
      <c r="C62" s="16" t="s">
        <v>296</v>
      </c>
      <c r="D62" s="17" t="s">
        <v>283</v>
      </c>
      <c r="E62" s="17" t="s">
        <v>30</v>
      </c>
      <c r="F62" s="17" t="s">
        <v>377</v>
      </c>
      <c r="G62" s="15">
        <v>25</v>
      </c>
      <c r="H62" s="15">
        <v>250</v>
      </c>
      <c r="I62" s="15">
        <v>500</v>
      </c>
      <c r="J62" s="17" t="s">
        <v>284</v>
      </c>
      <c r="K62" s="9" t="s">
        <v>14</v>
      </c>
      <c r="L62" s="10">
        <f t="shared" si="5"/>
        <v>10</v>
      </c>
      <c r="M62" s="10">
        <f t="shared" si="6"/>
        <v>20</v>
      </c>
      <c r="N62" s="19">
        <f t="shared" si="7"/>
        <v>250</v>
      </c>
      <c r="O62" s="19">
        <f t="shared" si="8"/>
        <v>125</v>
      </c>
      <c r="P62" s="19">
        <f t="shared" si="9"/>
        <v>125</v>
      </c>
    </row>
    <row r="63" spans="1:16" ht="15.6" x14ac:dyDescent="0.3">
      <c r="A63" s="6">
        <v>62</v>
      </c>
      <c r="B63" s="15" t="s">
        <v>297</v>
      </c>
      <c r="C63" s="16" t="s">
        <v>298</v>
      </c>
      <c r="D63" s="17" t="s">
        <v>283</v>
      </c>
      <c r="E63" s="17" t="s">
        <v>30</v>
      </c>
      <c r="F63" s="17" t="s">
        <v>377</v>
      </c>
      <c r="G63" s="15">
        <v>25</v>
      </c>
      <c r="H63" s="15">
        <v>250</v>
      </c>
      <c r="I63" s="15">
        <v>500</v>
      </c>
      <c r="J63" s="17" t="s">
        <v>284</v>
      </c>
      <c r="K63" s="9" t="s">
        <v>14</v>
      </c>
      <c r="L63" s="10">
        <f t="shared" si="5"/>
        <v>10</v>
      </c>
      <c r="M63" s="10">
        <f t="shared" si="6"/>
        <v>20</v>
      </c>
      <c r="N63" s="19">
        <f t="shared" si="7"/>
        <v>250</v>
      </c>
      <c r="O63" s="19">
        <f t="shared" si="8"/>
        <v>125</v>
      </c>
      <c r="P63" s="19">
        <f t="shared" si="9"/>
        <v>125</v>
      </c>
    </row>
    <row r="64" spans="1:16" ht="15.6" x14ac:dyDescent="0.3">
      <c r="A64" s="6">
        <v>63</v>
      </c>
      <c r="B64" s="15" t="s">
        <v>299</v>
      </c>
      <c r="C64" s="16" t="s">
        <v>300</v>
      </c>
      <c r="D64" s="17" t="s">
        <v>283</v>
      </c>
      <c r="E64" s="17" t="s">
        <v>30</v>
      </c>
      <c r="F64" s="17" t="s">
        <v>377</v>
      </c>
      <c r="G64" s="15">
        <v>25</v>
      </c>
      <c r="H64" s="15">
        <v>250</v>
      </c>
      <c r="I64" s="15">
        <v>500</v>
      </c>
      <c r="J64" s="17" t="s">
        <v>284</v>
      </c>
      <c r="K64" s="9" t="s">
        <v>14</v>
      </c>
      <c r="L64" s="10">
        <f t="shared" si="5"/>
        <v>10</v>
      </c>
      <c r="M64" s="10">
        <f t="shared" si="6"/>
        <v>20</v>
      </c>
      <c r="N64" s="22">
        <f t="shared" si="7"/>
        <v>250</v>
      </c>
      <c r="O64" s="22">
        <f t="shared" si="8"/>
        <v>125</v>
      </c>
      <c r="P64" s="22">
        <f t="shared" si="9"/>
        <v>125</v>
      </c>
    </row>
    <row r="65" spans="1:16" ht="15.6" x14ac:dyDescent="0.3">
      <c r="A65" s="6">
        <v>64</v>
      </c>
      <c r="B65" s="15" t="s">
        <v>301</v>
      </c>
      <c r="C65" s="16" t="s">
        <v>302</v>
      </c>
      <c r="D65" s="17" t="s">
        <v>283</v>
      </c>
      <c r="E65" s="17" t="s">
        <v>30</v>
      </c>
      <c r="F65" s="17" t="s">
        <v>377</v>
      </c>
      <c r="G65" s="15">
        <v>25</v>
      </c>
      <c r="H65" s="15">
        <v>250</v>
      </c>
      <c r="I65" s="15">
        <v>500</v>
      </c>
      <c r="J65" s="17" t="s">
        <v>284</v>
      </c>
      <c r="K65" s="9" t="s">
        <v>14</v>
      </c>
      <c r="L65" s="10">
        <f t="shared" si="5"/>
        <v>10</v>
      </c>
      <c r="M65" s="10">
        <f t="shared" si="6"/>
        <v>20</v>
      </c>
      <c r="N65" s="19">
        <f t="shared" si="7"/>
        <v>250</v>
      </c>
      <c r="O65" s="19">
        <f t="shared" si="8"/>
        <v>125</v>
      </c>
      <c r="P65" s="19">
        <f t="shared" si="9"/>
        <v>125</v>
      </c>
    </row>
    <row r="66" spans="1:16" ht="15.6" x14ac:dyDescent="0.3">
      <c r="A66" s="6">
        <v>65</v>
      </c>
      <c r="B66" s="15" t="s">
        <v>303</v>
      </c>
      <c r="C66" s="16" t="s">
        <v>304</v>
      </c>
      <c r="D66" s="17" t="s">
        <v>283</v>
      </c>
      <c r="E66" s="17" t="s">
        <v>30</v>
      </c>
      <c r="F66" s="17" t="s">
        <v>377</v>
      </c>
      <c r="G66" s="15">
        <v>25</v>
      </c>
      <c r="H66" s="15">
        <v>250</v>
      </c>
      <c r="I66" s="15">
        <v>500</v>
      </c>
      <c r="J66" s="17" t="s">
        <v>284</v>
      </c>
      <c r="K66" s="9" t="s">
        <v>14</v>
      </c>
      <c r="L66" s="10">
        <f t="shared" ref="L66:L97" si="10">H66/G66</f>
        <v>10</v>
      </c>
      <c r="M66" s="10">
        <f t="shared" ref="M66:M97" si="11">I66/G66</f>
        <v>20</v>
      </c>
      <c r="N66" s="19">
        <f t="shared" ref="N66:N97" si="12">I66-H66</f>
        <v>250</v>
      </c>
      <c r="O66" s="19">
        <f t="shared" ref="O66:O97" si="13">N66/2</f>
        <v>125</v>
      </c>
      <c r="P66" s="19">
        <f t="shared" ref="P66:P97" si="14">O66</f>
        <v>125</v>
      </c>
    </row>
    <row r="67" spans="1:16" ht="15.6" x14ac:dyDescent="0.3">
      <c r="A67" s="6">
        <v>66</v>
      </c>
      <c r="B67" s="15" t="s">
        <v>305</v>
      </c>
      <c r="C67" s="16" t="s">
        <v>306</v>
      </c>
      <c r="D67" s="17" t="s">
        <v>283</v>
      </c>
      <c r="E67" s="17" t="s">
        <v>30</v>
      </c>
      <c r="F67" s="17" t="s">
        <v>377</v>
      </c>
      <c r="G67" s="15">
        <v>25</v>
      </c>
      <c r="H67" s="15">
        <v>250</v>
      </c>
      <c r="I67" s="15">
        <v>500</v>
      </c>
      <c r="J67" s="17" t="s">
        <v>284</v>
      </c>
      <c r="K67" s="9" t="s">
        <v>14</v>
      </c>
      <c r="L67" s="10">
        <f t="shared" si="10"/>
        <v>10</v>
      </c>
      <c r="M67" s="10">
        <f t="shared" si="11"/>
        <v>20</v>
      </c>
      <c r="N67" s="19">
        <f t="shared" si="12"/>
        <v>250</v>
      </c>
      <c r="O67" s="19">
        <f t="shared" si="13"/>
        <v>125</v>
      </c>
      <c r="P67" s="19">
        <f t="shared" si="14"/>
        <v>125</v>
      </c>
    </row>
    <row r="68" spans="1:16" ht="15.6" x14ac:dyDescent="0.3">
      <c r="A68" s="6">
        <v>67</v>
      </c>
      <c r="B68" s="15" t="s">
        <v>307</v>
      </c>
      <c r="C68" s="16" t="s">
        <v>308</v>
      </c>
      <c r="D68" s="17" t="s">
        <v>283</v>
      </c>
      <c r="E68" s="17" t="s">
        <v>30</v>
      </c>
      <c r="F68" s="17" t="s">
        <v>377</v>
      </c>
      <c r="G68" s="15">
        <v>25</v>
      </c>
      <c r="H68" s="15">
        <v>250</v>
      </c>
      <c r="I68" s="15">
        <v>500</v>
      </c>
      <c r="J68" s="17" t="s">
        <v>284</v>
      </c>
      <c r="K68" s="9" t="s">
        <v>14</v>
      </c>
      <c r="L68" s="10">
        <f t="shared" si="10"/>
        <v>10</v>
      </c>
      <c r="M68" s="10">
        <f t="shared" si="11"/>
        <v>20</v>
      </c>
      <c r="N68" s="19">
        <f t="shared" si="12"/>
        <v>250</v>
      </c>
      <c r="O68" s="19">
        <f t="shared" si="13"/>
        <v>125</v>
      </c>
      <c r="P68" s="19">
        <f t="shared" si="14"/>
        <v>125</v>
      </c>
    </row>
    <row r="69" spans="1:16" ht="15.6" x14ac:dyDescent="0.3">
      <c r="A69" s="6">
        <v>68</v>
      </c>
      <c r="B69" s="15" t="s">
        <v>309</v>
      </c>
      <c r="C69" s="16" t="s">
        <v>310</v>
      </c>
      <c r="D69" s="17" t="s">
        <v>283</v>
      </c>
      <c r="E69" s="17" t="s">
        <v>30</v>
      </c>
      <c r="F69" s="17" t="s">
        <v>377</v>
      </c>
      <c r="G69" s="15">
        <v>25</v>
      </c>
      <c r="H69" s="15">
        <v>250</v>
      </c>
      <c r="I69" s="15">
        <v>500</v>
      </c>
      <c r="J69" s="17" t="s">
        <v>284</v>
      </c>
      <c r="K69" s="9" t="s">
        <v>14</v>
      </c>
      <c r="L69" s="10">
        <f t="shared" si="10"/>
        <v>10</v>
      </c>
      <c r="M69" s="10">
        <f t="shared" si="11"/>
        <v>20</v>
      </c>
      <c r="N69" s="19">
        <f t="shared" si="12"/>
        <v>250</v>
      </c>
      <c r="O69" s="19">
        <f t="shared" si="13"/>
        <v>125</v>
      </c>
      <c r="P69" s="19">
        <f t="shared" si="14"/>
        <v>125</v>
      </c>
    </row>
    <row r="70" spans="1:16" ht="15.6" x14ac:dyDescent="0.3">
      <c r="A70" s="6">
        <v>69</v>
      </c>
      <c r="B70" s="15" t="s">
        <v>311</v>
      </c>
      <c r="C70" s="16" t="s">
        <v>312</v>
      </c>
      <c r="D70" s="17" t="s">
        <v>283</v>
      </c>
      <c r="E70" s="17" t="s">
        <v>30</v>
      </c>
      <c r="F70" s="17" t="s">
        <v>377</v>
      </c>
      <c r="G70" s="15">
        <v>25</v>
      </c>
      <c r="H70" s="15">
        <v>250</v>
      </c>
      <c r="I70" s="15">
        <v>500</v>
      </c>
      <c r="J70" s="17" t="s">
        <v>284</v>
      </c>
      <c r="K70" s="9" t="s">
        <v>14</v>
      </c>
      <c r="L70" s="10">
        <f t="shared" si="10"/>
        <v>10</v>
      </c>
      <c r="M70" s="10">
        <f t="shared" si="11"/>
        <v>20</v>
      </c>
      <c r="N70" s="19">
        <f t="shared" si="12"/>
        <v>250</v>
      </c>
      <c r="O70" s="19">
        <f t="shared" si="13"/>
        <v>125</v>
      </c>
      <c r="P70" s="19">
        <f t="shared" si="14"/>
        <v>125</v>
      </c>
    </row>
    <row r="71" spans="1:16" ht="15.6" x14ac:dyDescent="0.3">
      <c r="A71" s="6">
        <v>70</v>
      </c>
      <c r="B71" s="15" t="s">
        <v>313</v>
      </c>
      <c r="C71" s="16" t="s">
        <v>314</v>
      </c>
      <c r="D71" s="17" t="s">
        <v>283</v>
      </c>
      <c r="E71" s="17" t="s">
        <v>30</v>
      </c>
      <c r="F71" s="17" t="s">
        <v>377</v>
      </c>
      <c r="G71" s="15">
        <v>25</v>
      </c>
      <c r="H71" s="15">
        <v>250</v>
      </c>
      <c r="I71" s="15">
        <v>500</v>
      </c>
      <c r="J71" s="17" t="s">
        <v>284</v>
      </c>
      <c r="K71" s="9" t="s">
        <v>14</v>
      </c>
      <c r="L71" s="10">
        <f t="shared" si="10"/>
        <v>10</v>
      </c>
      <c r="M71" s="10">
        <f t="shared" si="11"/>
        <v>20</v>
      </c>
      <c r="N71" s="19">
        <f t="shared" si="12"/>
        <v>250</v>
      </c>
      <c r="O71" s="19">
        <f t="shared" si="13"/>
        <v>125</v>
      </c>
      <c r="P71" s="19">
        <f t="shared" si="14"/>
        <v>125</v>
      </c>
    </row>
    <row r="72" spans="1:16" ht="15.6" x14ac:dyDescent="0.3">
      <c r="A72" s="6">
        <v>71</v>
      </c>
      <c r="B72" s="15" t="s">
        <v>315</v>
      </c>
      <c r="C72" s="16" t="s">
        <v>316</v>
      </c>
      <c r="D72" s="17" t="s">
        <v>283</v>
      </c>
      <c r="E72" s="17" t="s">
        <v>30</v>
      </c>
      <c r="F72" s="17" t="s">
        <v>377</v>
      </c>
      <c r="G72" s="15">
        <v>25</v>
      </c>
      <c r="H72" s="15">
        <v>250</v>
      </c>
      <c r="I72" s="15">
        <v>500</v>
      </c>
      <c r="J72" s="17" t="s">
        <v>284</v>
      </c>
      <c r="K72" s="9" t="s">
        <v>14</v>
      </c>
      <c r="L72" s="10">
        <f t="shared" si="10"/>
        <v>10</v>
      </c>
      <c r="M72" s="10">
        <f t="shared" si="11"/>
        <v>20</v>
      </c>
      <c r="N72" s="19">
        <f t="shared" si="12"/>
        <v>250</v>
      </c>
      <c r="O72" s="19">
        <f t="shared" si="13"/>
        <v>125</v>
      </c>
      <c r="P72" s="19">
        <f t="shared" si="14"/>
        <v>125</v>
      </c>
    </row>
    <row r="73" spans="1:16" ht="15.6" x14ac:dyDescent="0.3">
      <c r="A73" s="6">
        <v>72</v>
      </c>
      <c r="B73" s="15" t="s">
        <v>317</v>
      </c>
      <c r="C73" s="16" t="s">
        <v>318</v>
      </c>
      <c r="D73" s="17" t="s">
        <v>283</v>
      </c>
      <c r="E73" s="17" t="s">
        <v>30</v>
      </c>
      <c r="F73" s="17" t="s">
        <v>377</v>
      </c>
      <c r="G73" s="15">
        <v>25</v>
      </c>
      <c r="H73" s="15">
        <v>250</v>
      </c>
      <c r="I73" s="15">
        <v>500</v>
      </c>
      <c r="J73" s="17" t="s">
        <v>284</v>
      </c>
      <c r="K73" s="9" t="s">
        <v>14</v>
      </c>
      <c r="L73" s="10">
        <f t="shared" si="10"/>
        <v>10</v>
      </c>
      <c r="M73" s="10">
        <f t="shared" si="11"/>
        <v>20</v>
      </c>
      <c r="N73" s="22">
        <f t="shared" si="12"/>
        <v>250</v>
      </c>
      <c r="O73" s="22">
        <f t="shared" si="13"/>
        <v>125</v>
      </c>
      <c r="P73" s="22">
        <f t="shared" si="14"/>
        <v>125</v>
      </c>
    </row>
    <row r="74" spans="1:16" ht="15.6" x14ac:dyDescent="0.3">
      <c r="A74" s="6">
        <v>73</v>
      </c>
      <c r="B74" s="15" t="s">
        <v>319</v>
      </c>
      <c r="C74" s="16" t="s">
        <v>320</v>
      </c>
      <c r="D74" s="17" t="s">
        <v>283</v>
      </c>
      <c r="E74" s="17" t="s">
        <v>30</v>
      </c>
      <c r="F74" s="17" t="s">
        <v>377</v>
      </c>
      <c r="G74" s="15">
        <v>25</v>
      </c>
      <c r="H74" s="15">
        <v>250</v>
      </c>
      <c r="I74" s="15">
        <v>500</v>
      </c>
      <c r="J74" s="17" t="s">
        <v>284</v>
      </c>
      <c r="K74" s="9" t="s">
        <v>14</v>
      </c>
      <c r="L74" s="10">
        <f t="shared" si="10"/>
        <v>10</v>
      </c>
      <c r="M74" s="10">
        <f t="shared" si="11"/>
        <v>20</v>
      </c>
      <c r="N74" s="22">
        <f t="shared" si="12"/>
        <v>250</v>
      </c>
      <c r="O74" s="22">
        <f t="shared" si="13"/>
        <v>125</v>
      </c>
      <c r="P74" s="22">
        <f t="shared" si="14"/>
        <v>125</v>
      </c>
    </row>
    <row r="75" spans="1:16" ht="15.6" x14ac:dyDescent="0.3">
      <c r="A75" s="6">
        <v>74</v>
      </c>
      <c r="B75" s="15" t="s">
        <v>321</v>
      </c>
      <c r="C75" s="16" t="s">
        <v>322</v>
      </c>
      <c r="D75" s="17" t="s">
        <v>283</v>
      </c>
      <c r="E75" s="17" t="s">
        <v>30</v>
      </c>
      <c r="F75" s="17" t="s">
        <v>377</v>
      </c>
      <c r="G75" s="15">
        <v>25</v>
      </c>
      <c r="H75" s="15">
        <v>250</v>
      </c>
      <c r="I75" s="15">
        <v>500</v>
      </c>
      <c r="J75" s="17" t="s">
        <v>284</v>
      </c>
      <c r="K75" s="9" t="s">
        <v>14</v>
      </c>
      <c r="L75" s="10">
        <f t="shared" si="10"/>
        <v>10</v>
      </c>
      <c r="M75" s="10">
        <f t="shared" si="11"/>
        <v>20</v>
      </c>
      <c r="N75" s="22">
        <f t="shared" si="12"/>
        <v>250</v>
      </c>
      <c r="O75" s="22">
        <f t="shared" si="13"/>
        <v>125</v>
      </c>
      <c r="P75" s="22">
        <f t="shared" si="14"/>
        <v>125</v>
      </c>
    </row>
    <row r="76" spans="1:16" ht="15.6" x14ac:dyDescent="0.3">
      <c r="A76" s="6">
        <v>75</v>
      </c>
      <c r="B76" s="15" t="s">
        <v>325</v>
      </c>
      <c r="C76" s="16" t="s">
        <v>326</v>
      </c>
      <c r="D76" s="17" t="s">
        <v>283</v>
      </c>
      <c r="E76" s="17" t="s">
        <v>30</v>
      </c>
      <c r="F76" s="17" t="s">
        <v>377</v>
      </c>
      <c r="G76" s="15">
        <v>25</v>
      </c>
      <c r="H76" s="15">
        <v>250</v>
      </c>
      <c r="I76" s="15">
        <v>500</v>
      </c>
      <c r="J76" s="17" t="s">
        <v>284</v>
      </c>
      <c r="K76" s="9" t="s">
        <v>14</v>
      </c>
      <c r="L76" s="10">
        <f t="shared" si="10"/>
        <v>10</v>
      </c>
      <c r="M76" s="10">
        <f t="shared" si="11"/>
        <v>20</v>
      </c>
      <c r="N76" s="22">
        <f t="shared" si="12"/>
        <v>250</v>
      </c>
      <c r="O76" s="22">
        <f t="shared" si="13"/>
        <v>125</v>
      </c>
      <c r="P76" s="22">
        <f t="shared" si="14"/>
        <v>125</v>
      </c>
    </row>
    <row r="77" spans="1:16" ht="15.75" customHeight="1" x14ac:dyDescent="0.3">
      <c r="A77" s="6">
        <v>76</v>
      </c>
      <c r="B77" s="15" t="s">
        <v>333</v>
      </c>
      <c r="C77" s="16" t="s">
        <v>334</v>
      </c>
      <c r="D77" s="17" t="s">
        <v>283</v>
      </c>
      <c r="E77" s="17" t="s">
        <v>30</v>
      </c>
      <c r="F77" s="17" t="s">
        <v>377</v>
      </c>
      <c r="G77" s="15">
        <v>25</v>
      </c>
      <c r="H77" s="15">
        <v>250</v>
      </c>
      <c r="I77" s="15">
        <v>500</v>
      </c>
      <c r="J77" s="17" t="s">
        <v>284</v>
      </c>
      <c r="K77" s="9" t="s">
        <v>14</v>
      </c>
      <c r="L77" s="10">
        <f t="shared" si="10"/>
        <v>10</v>
      </c>
      <c r="M77" s="10">
        <f t="shared" si="11"/>
        <v>20</v>
      </c>
      <c r="N77" s="22">
        <f t="shared" si="12"/>
        <v>250</v>
      </c>
      <c r="O77" s="22">
        <f t="shared" si="13"/>
        <v>125</v>
      </c>
      <c r="P77" s="22">
        <f t="shared" si="14"/>
        <v>125</v>
      </c>
    </row>
    <row r="78" spans="1:16" ht="15.6" x14ac:dyDescent="0.3">
      <c r="A78" s="6">
        <v>77</v>
      </c>
      <c r="B78" s="15" t="s">
        <v>335</v>
      </c>
      <c r="C78" s="82" t="s">
        <v>336</v>
      </c>
      <c r="D78" s="17" t="s">
        <v>41</v>
      </c>
      <c r="E78" s="17" t="s">
        <v>13</v>
      </c>
      <c r="F78" s="17" t="s">
        <v>377</v>
      </c>
      <c r="G78" s="37">
        <v>77.14</v>
      </c>
      <c r="H78" s="20">
        <v>250</v>
      </c>
      <c r="I78" s="38">
        <v>700</v>
      </c>
      <c r="J78" s="17" t="s">
        <v>242</v>
      </c>
      <c r="K78" s="9" t="s">
        <v>14</v>
      </c>
      <c r="L78" s="10">
        <f t="shared" si="10"/>
        <v>3.240860772621208</v>
      </c>
      <c r="M78" s="10">
        <f t="shared" si="11"/>
        <v>9.0744101633393832</v>
      </c>
      <c r="N78" s="22">
        <f t="shared" si="12"/>
        <v>450</v>
      </c>
      <c r="O78" s="22">
        <f t="shared" si="13"/>
        <v>225</v>
      </c>
      <c r="P78" s="22">
        <f t="shared" si="14"/>
        <v>225</v>
      </c>
    </row>
    <row r="79" spans="1:16" ht="15.6" x14ac:dyDescent="0.3">
      <c r="A79" s="6">
        <v>78</v>
      </c>
      <c r="B79" s="15" t="s">
        <v>124</v>
      </c>
      <c r="C79" s="16" t="s">
        <v>125</v>
      </c>
      <c r="D79" s="17" t="s">
        <v>38</v>
      </c>
      <c r="E79" s="17" t="s">
        <v>13</v>
      </c>
      <c r="F79" s="17" t="s">
        <v>377</v>
      </c>
      <c r="G79" s="15">
        <v>93.7</v>
      </c>
      <c r="H79" s="20">
        <v>300</v>
      </c>
      <c r="I79" s="15">
        <v>750</v>
      </c>
      <c r="J79" s="17" t="s">
        <v>39</v>
      </c>
      <c r="K79" s="9" t="s">
        <v>14</v>
      </c>
      <c r="L79" s="10">
        <f t="shared" si="10"/>
        <v>3.2017075773745995</v>
      </c>
      <c r="M79" s="10">
        <f t="shared" si="11"/>
        <v>8.0042689434364984</v>
      </c>
      <c r="N79" s="22">
        <f t="shared" si="12"/>
        <v>450</v>
      </c>
      <c r="O79" s="22">
        <f t="shared" si="13"/>
        <v>225</v>
      </c>
      <c r="P79" s="22">
        <f t="shared" si="14"/>
        <v>225</v>
      </c>
    </row>
    <row r="80" spans="1:16" ht="15.6" x14ac:dyDescent="0.3">
      <c r="A80" s="6">
        <v>79</v>
      </c>
      <c r="B80" s="15" t="s">
        <v>134</v>
      </c>
      <c r="C80" s="16" t="s">
        <v>135</v>
      </c>
      <c r="D80" s="17" t="s">
        <v>38</v>
      </c>
      <c r="E80" s="17" t="s">
        <v>13</v>
      </c>
      <c r="F80" s="17" t="s">
        <v>377</v>
      </c>
      <c r="G80" s="15">
        <v>93.7</v>
      </c>
      <c r="H80" s="20">
        <v>300</v>
      </c>
      <c r="I80" s="15">
        <v>750</v>
      </c>
      <c r="J80" s="17" t="s">
        <v>68</v>
      </c>
      <c r="K80" s="9" t="s">
        <v>14</v>
      </c>
      <c r="L80" s="10">
        <f t="shared" si="10"/>
        <v>3.2017075773745995</v>
      </c>
      <c r="M80" s="10">
        <f t="shared" si="11"/>
        <v>8.0042689434364984</v>
      </c>
      <c r="N80" s="22">
        <f t="shared" si="12"/>
        <v>450</v>
      </c>
      <c r="O80" s="22">
        <f t="shared" si="13"/>
        <v>225</v>
      </c>
      <c r="P80" s="22">
        <f t="shared" si="14"/>
        <v>225</v>
      </c>
    </row>
    <row r="81" spans="1:16" ht="15.6" x14ac:dyDescent="0.3">
      <c r="A81" s="6">
        <v>80</v>
      </c>
      <c r="B81" s="9" t="s">
        <v>146</v>
      </c>
      <c r="C81" s="25" t="s">
        <v>147</v>
      </c>
      <c r="D81" s="11" t="s">
        <v>38</v>
      </c>
      <c r="E81" s="17" t="s">
        <v>13</v>
      </c>
      <c r="F81" s="17" t="s">
        <v>377</v>
      </c>
      <c r="G81" s="21">
        <v>85</v>
      </c>
      <c r="H81" s="20">
        <v>300</v>
      </c>
      <c r="I81" s="15">
        <v>700</v>
      </c>
      <c r="J81" s="12" t="s">
        <v>123</v>
      </c>
      <c r="K81" s="9" t="s">
        <v>14</v>
      </c>
      <c r="L81" s="10">
        <f t="shared" si="10"/>
        <v>3.5294117647058822</v>
      </c>
      <c r="M81" s="10">
        <f t="shared" si="11"/>
        <v>8.235294117647058</v>
      </c>
      <c r="N81" s="19">
        <f t="shared" si="12"/>
        <v>400</v>
      </c>
      <c r="O81" s="19">
        <f t="shared" si="13"/>
        <v>200</v>
      </c>
      <c r="P81" s="19">
        <f t="shared" si="14"/>
        <v>200</v>
      </c>
    </row>
    <row r="82" spans="1:16" ht="15.6" x14ac:dyDescent="0.3">
      <c r="A82" s="6">
        <v>81</v>
      </c>
      <c r="B82" s="24" t="s">
        <v>151</v>
      </c>
      <c r="C82" s="25" t="s">
        <v>152</v>
      </c>
      <c r="D82" s="11" t="s">
        <v>38</v>
      </c>
      <c r="E82" s="17" t="s">
        <v>13</v>
      </c>
      <c r="F82" s="17" t="s">
        <v>377</v>
      </c>
      <c r="G82" s="21">
        <v>85</v>
      </c>
      <c r="H82" s="20">
        <v>300</v>
      </c>
      <c r="I82" s="15">
        <v>700</v>
      </c>
      <c r="J82" s="12" t="s">
        <v>123</v>
      </c>
      <c r="K82" s="9" t="s">
        <v>14</v>
      </c>
      <c r="L82" s="10">
        <f t="shared" si="10"/>
        <v>3.5294117647058822</v>
      </c>
      <c r="M82" s="10">
        <f t="shared" si="11"/>
        <v>8.235294117647058</v>
      </c>
      <c r="N82" s="22">
        <f t="shared" si="12"/>
        <v>400</v>
      </c>
      <c r="O82" s="22">
        <f t="shared" si="13"/>
        <v>200</v>
      </c>
      <c r="P82" s="22">
        <f t="shared" si="14"/>
        <v>200</v>
      </c>
    </row>
    <row r="83" spans="1:16" ht="15.6" x14ac:dyDescent="0.3">
      <c r="A83" s="6">
        <v>82</v>
      </c>
      <c r="B83" s="9" t="s">
        <v>181</v>
      </c>
      <c r="C83" s="11" t="s">
        <v>182</v>
      </c>
      <c r="D83" s="11" t="s">
        <v>38</v>
      </c>
      <c r="E83" s="17" t="s">
        <v>13</v>
      </c>
      <c r="F83" s="17" t="s">
        <v>377</v>
      </c>
      <c r="G83" s="28">
        <v>87</v>
      </c>
      <c r="H83" s="20">
        <v>300</v>
      </c>
      <c r="I83" s="15">
        <v>600</v>
      </c>
      <c r="J83" s="12" t="s">
        <v>150</v>
      </c>
      <c r="K83" s="9" t="s">
        <v>14</v>
      </c>
      <c r="L83" s="10">
        <f t="shared" si="10"/>
        <v>3.4482758620689653</v>
      </c>
      <c r="M83" s="10">
        <f t="shared" si="11"/>
        <v>6.8965517241379306</v>
      </c>
      <c r="N83" s="22">
        <f t="shared" si="12"/>
        <v>300</v>
      </c>
      <c r="O83" s="22">
        <f t="shared" si="13"/>
        <v>150</v>
      </c>
      <c r="P83" s="22">
        <f t="shared" si="14"/>
        <v>150</v>
      </c>
    </row>
    <row r="84" spans="1:16" ht="15.6" x14ac:dyDescent="0.3">
      <c r="A84" s="6">
        <v>83</v>
      </c>
      <c r="B84" s="9" t="s">
        <v>188</v>
      </c>
      <c r="C84" s="11" t="s">
        <v>189</v>
      </c>
      <c r="D84" s="11" t="s">
        <v>38</v>
      </c>
      <c r="E84" s="17" t="s">
        <v>13</v>
      </c>
      <c r="F84" s="17" t="s">
        <v>377</v>
      </c>
      <c r="G84" s="28">
        <v>87</v>
      </c>
      <c r="H84" s="20">
        <v>300</v>
      </c>
      <c r="I84" s="15">
        <v>700</v>
      </c>
      <c r="J84" s="12" t="s">
        <v>150</v>
      </c>
      <c r="K84" s="9" t="s">
        <v>14</v>
      </c>
      <c r="L84" s="10">
        <f t="shared" si="10"/>
        <v>3.4482758620689653</v>
      </c>
      <c r="M84" s="10">
        <f t="shared" si="11"/>
        <v>8.0459770114942533</v>
      </c>
      <c r="N84" s="22">
        <f t="shared" si="12"/>
        <v>400</v>
      </c>
      <c r="O84" s="22">
        <f t="shared" si="13"/>
        <v>200</v>
      </c>
      <c r="P84" s="22">
        <f t="shared" si="14"/>
        <v>200</v>
      </c>
    </row>
    <row r="85" spans="1:16" ht="15.6" x14ac:dyDescent="0.3">
      <c r="A85" s="6">
        <v>84</v>
      </c>
      <c r="B85" s="9" t="s">
        <v>192</v>
      </c>
      <c r="C85" s="11" t="s">
        <v>193</v>
      </c>
      <c r="D85" s="11" t="s">
        <v>38</v>
      </c>
      <c r="E85" s="17" t="s">
        <v>13</v>
      </c>
      <c r="F85" s="17" t="s">
        <v>377</v>
      </c>
      <c r="G85" s="28">
        <v>87</v>
      </c>
      <c r="H85" s="20">
        <v>300</v>
      </c>
      <c r="I85" s="15">
        <v>700</v>
      </c>
      <c r="J85" s="12" t="s">
        <v>150</v>
      </c>
      <c r="K85" s="9" t="s">
        <v>14</v>
      </c>
      <c r="L85" s="10">
        <f t="shared" si="10"/>
        <v>3.4482758620689653</v>
      </c>
      <c r="M85" s="10">
        <f t="shared" si="11"/>
        <v>8.0459770114942533</v>
      </c>
      <c r="N85" s="22">
        <f t="shared" si="12"/>
        <v>400</v>
      </c>
      <c r="O85" s="22">
        <f t="shared" si="13"/>
        <v>200</v>
      </c>
      <c r="P85" s="22">
        <f t="shared" si="14"/>
        <v>200</v>
      </c>
    </row>
    <row r="86" spans="1:16" ht="15.6" x14ac:dyDescent="0.3">
      <c r="A86" s="6">
        <v>85</v>
      </c>
      <c r="B86" s="9" t="s">
        <v>196</v>
      </c>
      <c r="C86" s="11" t="s">
        <v>197</v>
      </c>
      <c r="D86" s="11" t="s">
        <v>38</v>
      </c>
      <c r="E86" s="17" t="s">
        <v>13</v>
      </c>
      <c r="F86" s="17" t="s">
        <v>377</v>
      </c>
      <c r="G86" s="28">
        <v>87</v>
      </c>
      <c r="H86" s="20">
        <v>300</v>
      </c>
      <c r="I86" s="15">
        <v>700</v>
      </c>
      <c r="J86" s="12" t="s">
        <v>150</v>
      </c>
      <c r="K86" s="9" t="s">
        <v>14</v>
      </c>
      <c r="L86" s="10">
        <f t="shared" si="10"/>
        <v>3.4482758620689653</v>
      </c>
      <c r="M86" s="10">
        <f t="shared" si="11"/>
        <v>8.0459770114942533</v>
      </c>
      <c r="N86" s="22">
        <f t="shared" si="12"/>
        <v>400</v>
      </c>
      <c r="O86" s="22">
        <f t="shared" si="13"/>
        <v>200</v>
      </c>
      <c r="P86" s="22">
        <f t="shared" si="14"/>
        <v>200</v>
      </c>
    </row>
    <row r="87" spans="1:16" ht="15.6" x14ac:dyDescent="0.3">
      <c r="A87" s="6">
        <v>86</v>
      </c>
      <c r="B87" s="15" t="s">
        <v>245</v>
      </c>
      <c r="C87" s="31" t="s">
        <v>246</v>
      </c>
      <c r="D87" s="17" t="s">
        <v>38</v>
      </c>
      <c r="E87" s="17" t="s">
        <v>13</v>
      </c>
      <c r="F87" s="17" t="s">
        <v>377</v>
      </c>
      <c r="G87" s="15">
        <v>99.8</v>
      </c>
      <c r="H87" s="20">
        <v>300</v>
      </c>
      <c r="I87" s="15">
        <v>800</v>
      </c>
      <c r="J87" s="17" t="s">
        <v>68</v>
      </c>
      <c r="K87" s="9" t="s">
        <v>14</v>
      </c>
      <c r="L87" s="10">
        <f t="shared" si="10"/>
        <v>3.0060120240480961</v>
      </c>
      <c r="M87" s="10">
        <f t="shared" si="11"/>
        <v>8.0160320641282574</v>
      </c>
      <c r="N87" s="22">
        <f t="shared" si="12"/>
        <v>500</v>
      </c>
      <c r="O87" s="22">
        <f t="shared" si="13"/>
        <v>250</v>
      </c>
      <c r="P87" s="22">
        <f t="shared" si="14"/>
        <v>250</v>
      </c>
    </row>
    <row r="88" spans="1:16" ht="15.6" x14ac:dyDescent="0.3">
      <c r="A88" s="6">
        <v>87</v>
      </c>
      <c r="B88" s="15" t="s">
        <v>247</v>
      </c>
      <c r="C88" s="31" t="s">
        <v>248</v>
      </c>
      <c r="D88" s="17" t="s">
        <v>38</v>
      </c>
      <c r="E88" s="17" t="s">
        <v>13</v>
      </c>
      <c r="F88" s="17" t="s">
        <v>377</v>
      </c>
      <c r="G88" s="15">
        <v>99.8</v>
      </c>
      <c r="H88" s="20">
        <v>300</v>
      </c>
      <c r="I88" s="15">
        <v>800</v>
      </c>
      <c r="J88" s="17" t="s">
        <v>68</v>
      </c>
      <c r="K88" s="9" t="s">
        <v>14</v>
      </c>
      <c r="L88" s="10">
        <f t="shared" si="10"/>
        <v>3.0060120240480961</v>
      </c>
      <c r="M88" s="10">
        <f t="shared" si="11"/>
        <v>8.0160320641282574</v>
      </c>
      <c r="N88" s="19">
        <f t="shared" si="12"/>
        <v>500</v>
      </c>
      <c r="O88" s="19">
        <f t="shared" si="13"/>
        <v>250</v>
      </c>
      <c r="P88" s="19">
        <f t="shared" si="14"/>
        <v>250</v>
      </c>
    </row>
    <row r="89" spans="1:16" ht="15.6" x14ac:dyDescent="0.3">
      <c r="A89" s="6">
        <v>88</v>
      </c>
      <c r="B89" s="15" t="s">
        <v>249</v>
      </c>
      <c r="C89" s="31" t="s">
        <v>250</v>
      </c>
      <c r="D89" s="17" t="s">
        <v>38</v>
      </c>
      <c r="E89" s="17" t="s">
        <v>13</v>
      </c>
      <c r="F89" s="17" t="s">
        <v>377</v>
      </c>
      <c r="G89" s="15">
        <v>99.8</v>
      </c>
      <c r="H89" s="20">
        <v>300</v>
      </c>
      <c r="I89" s="15">
        <v>800</v>
      </c>
      <c r="J89" s="17" t="s">
        <v>68</v>
      </c>
      <c r="K89" s="9" t="s">
        <v>14</v>
      </c>
      <c r="L89" s="10">
        <f t="shared" si="10"/>
        <v>3.0060120240480961</v>
      </c>
      <c r="M89" s="10">
        <f t="shared" si="11"/>
        <v>8.0160320641282574</v>
      </c>
      <c r="N89" s="22">
        <f t="shared" si="12"/>
        <v>500</v>
      </c>
      <c r="O89" s="22">
        <f t="shared" si="13"/>
        <v>250</v>
      </c>
      <c r="P89" s="22">
        <f t="shared" si="14"/>
        <v>250</v>
      </c>
    </row>
    <row r="90" spans="1:16" ht="15.6" x14ac:dyDescent="0.3">
      <c r="A90" s="6">
        <v>89</v>
      </c>
      <c r="B90" s="15" t="s">
        <v>251</v>
      </c>
      <c r="C90" s="31" t="s">
        <v>252</v>
      </c>
      <c r="D90" s="17" t="s">
        <v>38</v>
      </c>
      <c r="E90" s="17" t="s">
        <v>13</v>
      </c>
      <c r="F90" s="17" t="s">
        <v>377</v>
      </c>
      <c r="G90" s="15">
        <v>99.8</v>
      </c>
      <c r="H90" s="20">
        <v>300</v>
      </c>
      <c r="I90" s="15">
        <v>800</v>
      </c>
      <c r="J90" s="17" t="s">
        <v>68</v>
      </c>
      <c r="K90" s="9" t="s">
        <v>14</v>
      </c>
      <c r="L90" s="10">
        <f t="shared" si="10"/>
        <v>3.0060120240480961</v>
      </c>
      <c r="M90" s="10">
        <f t="shared" si="11"/>
        <v>8.0160320641282574</v>
      </c>
      <c r="N90" s="22">
        <f t="shared" si="12"/>
        <v>500</v>
      </c>
      <c r="O90" s="22">
        <f t="shared" si="13"/>
        <v>250</v>
      </c>
      <c r="P90" s="22">
        <f t="shared" si="14"/>
        <v>250</v>
      </c>
    </row>
    <row r="91" spans="1:16" ht="15.6" x14ac:dyDescent="0.3">
      <c r="A91" s="6">
        <v>90</v>
      </c>
      <c r="B91" s="15" t="s">
        <v>253</v>
      </c>
      <c r="C91" s="31" t="s">
        <v>254</v>
      </c>
      <c r="D91" s="17" t="s">
        <v>38</v>
      </c>
      <c r="E91" s="17" t="s">
        <v>13</v>
      </c>
      <c r="F91" s="17" t="s">
        <v>377</v>
      </c>
      <c r="G91" s="15">
        <v>99.8</v>
      </c>
      <c r="H91" s="20">
        <v>300</v>
      </c>
      <c r="I91" s="15">
        <v>800</v>
      </c>
      <c r="J91" s="17" t="s">
        <v>68</v>
      </c>
      <c r="K91" s="9" t="s">
        <v>14</v>
      </c>
      <c r="L91" s="10">
        <f t="shared" si="10"/>
        <v>3.0060120240480961</v>
      </c>
      <c r="M91" s="10">
        <f t="shared" si="11"/>
        <v>8.0160320641282574</v>
      </c>
      <c r="N91" s="19">
        <f t="shared" si="12"/>
        <v>500</v>
      </c>
      <c r="O91" s="19">
        <f t="shared" si="13"/>
        <v>250</v>
      </c>
      <c r="P91" s="19">
        <f t="shared" si="14"/>
        <v>250</v>
      </c>
    </row>
    <row r="92" spans="1:16" ht="15.6" x14ac:dyDescent="0.3">
      <c r="A92" s="6">
        <v>91</v>
      </c>
      <c r="B92" s="15" t="s">
        <v>255</v>
      </c>
      <c r="C92" s="31" t="s">
        <v>256</v>
      </c>
      <c r="D92" s="17" t="s">
        <v>38</v>
      </c>
      <c r="E92" s="17" t="s">
        <v>13</v>
      </c>
      <c r="F92" s="17" t="s">
        <v>377</v>
      </c>
      <c r="G92" s="15">
        <v>99.8</v>
      </c>
      <c r="H92" s="20">
        <v>300</v>
      </c>
      <c r="I92" s="15">
        <v>800</v>
      </c>
      <c r="J92" s="17" t="s">
        <v>68</v>
      </c>
      <c r="K92" s="9" t="s">
        <v>14</v>
      </c>
      <c r="L92" s="10">
        <f t="shared" si="10"/>
        <v>3.0060120240480961</v>
      </c>
      <c r="M92" s="10">
        <f t="shared" si="11"/>
        <v>8.0160320641282574</v>
      </c>
      <c r="N92" s="19">
        <f t="shared" si="12"/>
        <v>500</v>
      </c>
      <c r="O92" s="19">
        <f t="shared" si="13"/>
        <v>250</v>
      </c>
      <c r="P92" s="19">
        <f t="shared" si="14"/>
        <v>250</v>
      </c>
    </row>
    <row r="93" spans="1:16" ht="15.6" x14ac:dyDescent="0.3">
      <c r="A93" s="6">
        <v>92</v>
      </c>
      <c r="B93" s="15" t="s">
        <v>257</v>
      </c>
      <c r="C93" s="31" t="s">
        <v>258</v>
      </c>
      <c r="D93" s="17" t="s">
        <v>38</v>
      </c>
      <c r="E93" s="17" t="s">
        <v>13</v>
      </c>
      <c r="F93" s="17" t="s">
        <v>377</v>
      </c>
      <c r="G93" s="15">
        <v>99.8</v>
      </c>
      <c r="H93" s="20">
        <v>300</v>
      </c>
      <c r="I93" s="15">
        <v>800</v>
      </c>
      <c r="J93" s="17" t="s">
        <v>68</v>
      </c>
      <c r="K93" s="9" t="s">
        <v>14</v>
      </c>
      <c r="L93" s="10">
        <f t="shared" si="10"/>
        <v>3.0060120240480961</v>
      </c>
      <c r="M93" s="10">
        <f t="shared" si="11"/>
        <v>8.0160320641282574</v>
      </c>
      <c r="N93" s="19">
        <f t="shared" si="12"/>
        <v>500</v>
      </c>
      <c r="O93" s="19">
        <f t="shared" si="13"/>
        <v>250</v>
      </c>
      <c r="P93" s="19">
        <f t="shared" si="14"/>
        <v>250</v>
      </c>
    </row>
    <row r="94" spans="1:16" ht="15.6" x14ac:dyDescent="0.3">
      <c r="A94" s="6">
        <v>93</v>
      </c>
      <c r="B94" s="15" t="s">
        <v>337</v>
      </c>
      <c r="C94" s="8" t="s">
        <v>338</v>
      </c>
      <c r="D94" s="17" t="s">
        <v>41</v>
      </c>
      <c r="E94" s="17" t="s">
        <v>13</v>
      </c>
      <c r="F94" s="17" t="s">
        <v>377</v>
      </c>
      <c r="G94" s="37">
        <v>97.94047619047619</v>
      </c>
      <c r="H94" s="20">
        <v>300</v>
      </c>
      <c r="I94" s="38">
        <v>800</v>
      </c>
      <c r="J94" s="17" t="s">
        <v>242</v>
      </c>
      <c r="K94" s="9" t="s">
        <v>14</v>
      </c>
      <c r="L94" s="10">
        <f t="shared" si="10"/>
        <v>3.0630849641424578</v>
      </c>
      <c r="M94" s="10">
        <f t="shared" si="11"/>
        <v>8.1682265710465547</v>
      </c>
      <c r="N94" s="19">
        <f t="shared" si="12"/>
        <v>500</v>
      </c>
      <c r="O94" s="19">
        <f t="shared" si="13"/>
        <v>250</v>
      </c>
      <c r="P94" s="19">
        <f t="shared" si="14"/>
        <v>250</v>
      </c>
    </row>
    <row r="95" spans="1:16" ht="15.6" x14ac:dyDescent="0.3">
      <c r="A95" s="6">
        <v>94</v>
      </c>
      <c r="B95" s="15" t="s">
        <v>109</v>
      </c>
      <c r="C95" s="16" t="s">
        <v>110</v>
      </c>
      <c r="D95" s="17" t="s">
        <v>38</v>
      </c>
      <c r="E95" s="17" t="s">
        <v>13</v>
      </c>
      <c r="F95" s="17" t="s">
        <v>377</v>
      </c>
      <c r="G95" s="15">
        <v>104.1</v>
      </c>
      <c r="H95" s="20">
        <v>350</v>
      </c>
      <c r="I95" s="15">
        <v>700</v>
      </c>
      <c r="J95" s="17" t="s">
        <v>68</v>
      </c>
      <c r="K95" s="9" t="s">
        <v>14</v>
      </c>
      <c r="L95" s="10">
        <f t="shared" si="10"/>
        <v>3.3621517771373681</v>
      </c>
      <c r="M95" s="10">
        <f t="shared" si="11"/>
        <v>6.7243035542747362</v>
      </c>
      <c r="N95" s="19">
        <f t="shared" si="12"/>
        <v>350</v>
      </c>
      <c r="O95" s="19">
        <f t="shared" si="13"/>
        <v>175</v>
      </c>
      <c r="P95" s="19">
        <f t="shared" si="14"/>
        <v>175</v>
      </c>
    </row>
    <row r="96" spans="1:16" ht="15.6" x14ac:dyDescent="0.3">
      <c r="A96" s="6">
        <v>95</v>
      </c>
      <c r="B96" s="9" t="s">
        <v>119</v>
      </c>
      <c r="C96" s="27" t="s">
        <v>120</v>
      </c>
      <c r="D96" s="11" t="s">
        <v>38</v>
      </c>
      <c r="E96" s="17" t="s">
        <v>13</v>
      </c>
      <c r="F96" s="17" t="s">
        <v>377</v>
      </c>
      <c r="G96" s="28">
        <v>102</v>
      </c>
      <c r="H96" s="20">
        <v>350</v>
      </c>
      <c r="I96" s="15">
        <v>700</v>
      </c>
      <c r="J96" s="12" t="s">
        <v>68</v>
      </c>
      <c r="K96" s="9" t="s">
        <v>14</v>
      </c>
      <c r="L96" s="10">
        <f t="shared" si="10"/>
        <v>3.4313725490196076</v>
      </c>
      <c r="M96" s="10">
        <f t="shared" si="11"/>
        <v>6.8627450980392153</v>
      </c>
      <c r="N96" s="19">
        <f t="shared" si="12"/>
        <v>350</v>
      </c>
      <c r="O96" s="19">
        <f t="shared" si="13"/>
        <v>175</v>
      </c>
      <c r="P96" s="19">
        <f t="shared" si="14"/>
        <v>175</v>
      </c>
    </row>
    <row r="97" spans="1:16" ht="15.6" x14ac:dyDescent="0.3">
      <c r="A97" s="6">
        <v>96</v>
      </c>
      <c r="B97" s="7" t="s">
        <v>126</v>
      </c>
      <c r="C97" s="8" t="s">
        <v>127</v>
      </c>
      <c r="D97" s="17" t="s">
        <v>38</v>
      </c>
      <c r="E97" s="17" t="s">
        <v>13</v>
      </c>
      <c r="F97" s="17" t="s">
        <v>377</v>
      </c>
      <c r="G97" s="23">
        <v>105.75</v>
      </c>
      <c r="H97" s="20">
        <v>350</v>
      </c>
      <c r="I97" s="20">
        <v>700</v>
      </c>
      <c r="J97" s="17" t="s">
        <v>39</v>
      </c>
      <c r="K97" s="9" t="s">
        <v>14</v>
      </c>
      <c r="L97" s="10">
        <f t="shared" si="10"/>
        <v>3.3096926713947989</v>
      </c>
      <c r="M97" s="10">
        <f t="shared" si="11"/>
        <v>6.6193853427895979</v>
      </c>
      <c r="N97" s="19">
        <f t="shared" si="12"/>
        <v>350</v>
      </c>
      <c r="O97" s="19">
        <f t="shared" si="13"/>
        <v>175</v>
      </c>
      <c r="P97" s="19">
        <f t="shared" si="14"/>
        <v>175</v>
      </c>
    </row>
    <row r="98" spans="1:16" ht="15.6" x14ac:dyDescent="0.3">
      <c r="A98" s="6">
        <v>97</v>
      </c>
      <c r="B98" s="15" t="s">
        <v>138</v>
      </c>
      <c r="C98" s="16" t="s">
        <v>139</v>
      </c>
      <c r="D98" s="17" t="s">
        <v>38</v>
      </c>
      <c r="E98" s="17" t="s">
        <v>13</v>
      </c>
      <c r="F98" s="17" t="s">
        <v>377</v>
      </c>
      <c r="G98" s="20">
        <v>115.9</v>
      </c>
      <c r="H98" s="20">
        <v>350</v>
      </c>
      <c r="I98" s="15">
        <v>700</v>
      </c>
      <c r="J98" s="17" t="s">
        <v>68</v>
      </c>
      <c r="K98" s="9" t="s">
        <v>14</v>
      </c>
      <c r="L98" s="10">
        <f t="shared" ref="L98:L129" si="15">H98/G98</f>
        <v>3.0198446937014665</v>
      </c>
      <c r="M98" s="10">
        <f t="shared" ref="M98:M129" si="16">I98/G98</f>
        <v>6.0396893874029329</v>
      </c>
      <c r="N98" s="19">
        <f t="shared" ref="N98:N129" si="17">I98-H98</f>
        <v>350</v>
      </c>
      <c r="O98" s="19">
        <f t="shared" ref="O98:O129" si="18">N98/2</f>
        <v>175</v>
      </c>
      <c r="P98" s="19">
        <f t="shared" ref="P98:P129" si="19">O98</f>
        <v>175</v>
      </c>
    </row>
    <row r="99" spans="1:16" ht="15.6" x14ac:dyDescent="0.3">
      <c r="A99" s="6">
        <v>98</v>
      </c>
      <c r="B99" s="15" t="s">
        <v>140</v>
      </c>
      <c r="C99" s="16" t="s">
        <v>141</v>
      </c>
      <c r="D99" s="17" t="s">
        <v>38</v>
      </c>
      <c r="E99" s="17" t="s">
        <v>13</v>
      </c>
      <c r="F99" s="17" t="s">
        <v>377</v>
      </c>
      <c r="G99" s="15">
        <v>106</v>
      </c>
      <c r="H99" s="20">
        <v>350</v>
      </c>
      <c r="I99" s="15">
        <v>700</v>
      </c>
      <c r="J99" s="17" t="s">
        <v>68</v>
      </c>
      <c r="K99" s="9" t="s">
        <v>14</v>
      </c>
      <c r="L99" s="10">
        <f t="shared" si="15"/>
        <v>3.3018867924528301</v>
      </c>
      <c r="M99" s="10">
        <f t="shared" si="16"/>
        <v>6.6037735849056602</v>
      </c>
      <c r="N99" s="22">
        <f t="shared" si="17"/>
        <v>350</v>
      </c>
      <c r="O99" s="22">
        <f t="shared" si="18"/>
        <v>175</v>
      </c>
      <c r="P99" s="22">
        <f t="shared" si="19"/>
        <v>175</v>
      </c>
    </row>
    <row r="100" spans="1:16" ht="15.6" x14ac:dyDescent="0.3">
      <c r="A100" s="6">
        <v>99</v>
      </c>
      <c r="B100" s="9" t="s">
        <v>173</v>
      </c>
      <c r="C100" s="11" t="s">
        <v>174</v>
      </c>
      <c r="D100" s="11" t="s">
        <v>38</v>
      </c>
      <c r="E100" s="17" t="s">
        <v>13</v>
      </c>
      <c r="F100" s="17" t="s">
        <v>377</v>
      </c>
      <c r="G100" s="28">
        <v>103</v>
      </c>
      <c r="H100" s="20">
        <v>350</v>
      </c>
      <c r="I100" s="15">
        <v>700</v>
      </c>
      <c r="J100" s="12" t="s">
        <v>150</v>
      </c>
      <c r="K100" s="9" t="s">
        <v>14</v>
      </c>
      <c r="L100" s="10">
        <f t="shared" si="15"/>
        <v>3.3980582524271843</v>
      </c>
      <c r="M100" s="10">
        <f t="shared" si="16"/>
        <v>6.7961165048543686</v>
      </c>
      <c r="N100" s="22">
        <f t="shared" si="17"/>
        <v>350</v>
      </c>
      <c r="O100" s="22">
        <f t="shared" si="18"/>
        <v>175</v>
      </c>
      <c r="P100" s="22">
        <f t="shared" si="19"/>
        <v>175</v>
      </c>
    </row>
    <row r="101" spans="1:16" ht="15.6" x14ac:dyDescent="0.3">
      <c r="A101" s="6">
        <v>100</v>
      </c>
      <c r="B101" s="9" t="s">
        <v>183</v>
      </c>
      <c r="C101" s="11" t="s">
        <v>184</v>
      </c>
      <c r="D101" s="11" t="s">
        <v>38</v>
      </c>
      <c r="E101" s="17" t="s">
        <v>13</v>
      </c>
      <c r="F101" s="17" t="s">
        <v>377</v>
      </c>
      <c r="G101" s="28">
        <v>103</v>
      </c>
      <c r="H101" s="20">
        <v>350</v>
      </c>
      <c r="I101" s="15">
        <v>700</v>
      </c>
      <c r="J101" s="12" t="s">
        <v>150</v>
      </c>
      <c r="K101" s="9" t="s">
        <v>14</v>
      </c>
      <c r="L101" s="10">
        <f t="shared" si="15"/>
        <v>3.3980582524271843</v>
      </c>
      <c r="M101" s="10">
        <f t="shared" si="16"/>
        <v>6.7961165048543686</v>
      </c>
      <c r="N101" s="19">
        <f t="shared" si="17"/>
        <v>350</v>
      </c>
      <c r="O101" s="19">
        <f t="shared" si="18"/>
        <v>175</v>
      </c>
      <c r="P101" s="19">
        <f t="shared" si="19"/>
        <v>175</v>
      </c>
    </row>
    <row r="102" spans="1:16" ht="15.6" x14ac:dyDescent="0.3">
      <c r="A102" s="6">
        <v>101</v>
      </c>
      <c r="B102" s="32" t="s">
        <v>216</v>
      </c>
      <c r="C102" s="33" t="s">
        <v>217</v>
      </c>
      <c r="D102" s="17" t="s">
        <v>38</v>
      </c>
      <c r="E102" s="17" t="s">
        <v>13</v>
      </c>
      <c r="F102" s="17" t="s">
        <v>377</v>
      </c>
      <c r="G102" s="41">
        <v>113</v>
      </c>
      <c r="H102" s="41">
        <v>350</v>
      </c>
      <c r="I102" s="41">
        <v>700</v>
      </c>
      <c r="J102" s="35" t="s">
        <v>68</v>
      </c>
      <c r="K102" s="34" t="s">
        <v>14</v>
      </c>
      <c r="L102" s="36">
        <f t="shared" si="15"/>
        <v>3.0973451327433628</v>
      </c>
      <c r="M102" s="10">
        <f t="shared" si="16"/>
        <v>6.1946902654867255</v>
      </c>
      <c r="N102" s="22">
        <f t="shared" si="17"/>
        <v>350</v>
      </c>
      <c r="O102" s="22">
        <f t="shared" si="18"/>
        <v>175</v>
      </c>
      <c r="P102" s="22">
        <f t="shared" si="19"/>
        <v>175</v>
      </c>
    </row>
    <row r="103" spans="1:16" ht="15.6" x14ac:dyDescent="0.3">
      <c r="A103" s="6">
        <v>102</v>
      </c>
      <c r="B103" s="15" t="s">
        <v>136</v>
      </c>
      <c r="C103" s="8" t="s">
        <v>137</v>
      </c>
      <c r="D103" s="17" t="s">
        <v>38</v>
      </c>
      <c r="E103" s="17" t="s">
        <v>13</v>
      </c>
      <c r="F103" s="17" t="s">
        <v>377</v>
      </c>
      <c r="G103" s="15">
        <v>119.1</v>
      </c>
      <c r="H103" s="20">
        <v>400</v>
      </c>
      <c r="I103" s="15">
        <v>800</v>
      </c>
      <c r="J103" s="17" t="s">
        <v>68</v>
      </c>
      <c r="K103" s="9" t="s">
        <v>14</v>
      </c>
      <c r="L103" s="10">
        <f t="shared" si="15"/>
        <v>3.3585222502099077</v>
      </c>
      <c r="M103" s="10">
        <f t="shared" si="16"/>
        <v>6.7170445004198154</v>
      </c>
      <c r="N103" s="22">
        <f t="shared" si="17"/>
        <v>400</v>
      </c>
      <c r="O103" s="22">
        <f t="shared" si="18"/>
        <v>200</v>
      </c>
      <c r="P103" s="22">
        <f t="shared" si="19"/>
        <v>200</v>
      </c>
    </row>
    <row r="104" spans="1:16" ht="15.6" x14ac:dyDescent="0.3">
      <c r="A104" s="6">
        <v>103</v>
      </c>
      <c r="B104" s="7" t="s">
        <v>228</v>
      </c>
      <c r="C104" s="8" t="s">
        <v>229</v>
      </c>
      <c r="D104" s="17" t="s">
        <v>38</v>
      </c>
      <c r="E104" s="17" t="s">
        <v>13</v>
      </c>
      <c r="F104" s="17" t="s">
        <v>377</v>
      </c>
      <c r="G104" s="23">
        <v>125</v>
      </c>
      <c r="H104" s="20">
        <v>400</v>
      </c>
      <c r="I104" s="20">
        <v>800</v>
      </c>
      <c r="J104" s="17" t="s">
        <v>68</v>
      </c>
      <c r="K104" s="9" t="s">
        <v>14</v>
      </c>
      <c r="L104" s="10">
        <f t="shared" si="15"/>
        <v>3.2</v>
      </c>
      <c r="M104" s="10">
        <f t="shared" si="16"/>
        <v>6.4</v>
      </c>
      <c r="N104" s="19">
        <f t="shared" si="17"/>
        <v>400</v>
      </c>
      <c r="O104" s="19">
        <f t="shared" si="18"/>
        <v>200</v>
      </c>
      <c r="P104" s="19">
        <f t="shared" si="19"/>
        <v>200</v>
      </c>
    </row>
    <row r="105" spans="1:16" ht="15.6" x14ac:dyDescent="0.3">
      <c r="A105" s="6">
        <v>104</v>
      </c>
      <c r="B105" s="7" t="s">
        <v>230</v>
      </c>
      <c r="C105" s="8" t="s">
        <v>231</v>
      </c>
      <c r="D105" s="17" t="s">
        <v>38</v>
      </c>
      <c r="E105" s="17" t="s">
        <v>13</v>
      </c>
      <c r="F105" s="17" t="s">
        <v>377</v>
      </c>
      <c r="G105" s="23">
        <v>125</v>
      </c>
      <c r="H105" s="20">
        <v>400</v>
      </c>
      <c r="I105" s="20">
        <v>800</v>
      </c>
      <c r="J105" s="17" t="s">
        <v>68</v>
      </c>
      <c r="K105" s="9" t="s">
        <v>14</v>
      </c>
      <c r="L105" s="10">
        <f t="shared" si="15"/>
        <v>3.2</v>
      </c>
      <c r="M105" s="10">
        <f t="shared" si="16"/>
        <v>6.4</v>
      </c>
      <c r="N105" s="22">
        <f t="shared" si="17"/>
        <v>400</v>
      </c>
      <c r="O105" s="22">
        <f t="shared" si="18"/>
        <v>200</v>
      </c>
      <c r="P105" s="22">
        <f t="shared" si="19"/>
        <v>200</v>
      </c>
    </row>
    <row r="106" spans="1:16" ht="15.6" x14ac:dyDescent="0.3">
      <c r="A106" s="6">
        <v>105</v>
      </c>
      <c r="B106" s="15" t="s">
        <v>234</v>
      </c>
      <c r="C106" s="16" t="s">
        <v>235</v>
      </c>
      <c r="D106" s="17" t="s">
        <v>38</v>
      </c>
      <c r="E106" s="17" t="s">
        <v>13</v>
      </c>
      <c r="F106" s="17" t="s">
        <v>377</v>
      </c>
      <c r="G106" s="15">
        <v>121</v>
      </c>
      <c r="H106" s="20">
        <v>400</v>
      </c>
      <c r="I106" s="15">
        <v>800</v>
      </c>
      <c r="J106" s="17" t="s">
        <v>94</v>
      </c>
      <c r="K106" s="9" t="s">
        <v>14</v>
      </c>
      <c r="L106" s="10">
        <f t="shared" si="15"/>
        <v>3.3057851239669422</v>
      </c>
      <c r="M106" s="10">
        <f t="shared" si="16"/>
        <v>6.6115702479338845</v>
      </c>
      <c r="N106" s="19">
        <f t="shared" si="17"/>
        <v>400</v>
      </c>
      <c r="O106" s="19">
        <f t="shared" si="18"/>
        <v>200</v>
      </c>
      <c r="P106" s="19">
        <f t="shared" si="19"/>
        <v>200</v>
      </c>
    </row>
    <row r="107" spans="1:16" ht="15.6" x14ac:dyDescent="0.3">
      <c r="A107" s="6">
        <v>106</v>
      </c>
      <c r="B107" s="15" t="s">
        <v>144</v>
      </c>
      <c r="C107" s="16" t="s">
        <v>145</v>
      </c>
      <c r="D107" s="17" t="s">
        <v>38</v>
      </c>
      <c r="E107" s="17" t="s">
        <v>13</v>
      </c>
      <c r="F107" s="17" t="s">
        <v>377</v>
      </c>
      <c r="G107" s="15">
        <v>140.69999999999999</v>
      </c>
      <c r="H107" s="20">
        <v>450</v>
      </c>
      <c r="I107" s="15">
        <v>900</v>
      </c>
      <c r="J107" s="17" t="s">
        <v>68</v>
      </c>
      <c r="K107" s="9" t="s">
        <v>14</v>
      </c>
      <c r="L107" s="10">
        <f t="shared" si="15"/>
        <v>3.1982942430703627</v>
      </c>
      <c r="M107" s="10">
        <f t="shared" si="16"/>
        <v>6.3965884861407254</v>
      </c>
      <c r="N107" s="22">
        <f t="shared" si="17"/>
        <v>450</v>
      </c>
      <c r="O107" s="22">
        <f t="shared" si="18"/>
        <v>225</v>
      </c>
      <c r="P107" s="22">
        <f t="shared" si="19"/>
        <v>225</v>
      </c>
    </row>
    <row r="108" spans="1:16" ht="15.6" x14ac:dyDescent="0.3">
      <c r="A108" s="6">
        <v>107</v>
      </c>
      <c r="B108" s="15" t="s">
        <v>163</v>
      </c>
      <c r="C108" s="16" t="s">
        <v>164</v>
      </c>
      <c r="D108" s="17" t="s">
        <v>38</v>
      </c>
      <c r="E108" s="17" t="s">
        <v>13</v>
      </c>
      <c r="F108" s="17" t="s">
        <v>377</v>
      </c>
      <c r="G108" s="15">
        <v>146.80000000000001</v>
      </c>
      <c r="H108" s="20">
        <v>450</v>
      </c>
      <c r="I108" s="15">
        <v>900</v>
      </c>
      <c r="J108" s="17" t="s">
        <v>68</v>
      </c>
      <c r="K108" s="9" t="s">
        <v>14</v>
      </c>
      <c r="L108" s="10">
        <f t="shared" si="15"/>
        <v>3.065395095367847</v>
      </c>
      <c r="M108" s="10">
        <f t="shared" si="16"/>
        <v>6.1307901907356941</v>
      </c>
      <c r="N108" s="19">
        <f t="shared" si="17"/>
        <v>450</v>
      </c>
      <c r="O108" s="19">
        <f t="shared" si="18"/>
        <v>225</v>
      </c>
      <c r="P108" s="19">
        <f t="shared" si="19"/>
        <v>225</v>
      </c>
    </row>
    <row r="109" spans="1:16" ht="15.6" x14ac:dyDescent="0.3">
      <c r="A109" s="6">
        <v>108</v>
      </c>
      <c r="B109" s="15" t="s">
        <v>208</v>
      </c>
      <c r="C109" s="16" t="s">
        <v>209</v>
      </c>
      <c r="D109" s="17" t="s">
        <v>38</v>
      </c>
      <c r="E109" s="17" t="s">
        <v>13</v>
      </c>
      <c r="F109" s="17" t="s">
        <v>377</v>
      </c>
      <c r="G109" s="15">
        <v>146.80000000000001</v>
      </c>
      <c r="H109" s="20">
        <v>450</v>
      </c>
      <c r="I109" s="15">
        <v>900</v>
      </c>
      <c r="J109" s="17" t="s">
        <v>68</v>
      </c>
      <c r="K109" s="9" t="s">
        <v>14</v>
      </c>
      <c r="L109" s="10">
        <f t="shared" si="15"/>
        <v>3.065395095367847</v>
      </c>
      <c r="M109" s="10">
        <f t="shared" si="16"/>
        <v>6.1307901907356941</v>
      </c>
      <c r="N109" s="22">
        <f t="shared" si="17"/>
        <v>450</v>
      </c>
      <c r="O109" s="22">
        <f t="shared" si="18"/>
        <v>225</v>
      </c>
      <c r="P109" s="22">
        <f t="shared" si="19"/>
        <v>225</v>
      </c>
    </row>
    <row r="110" spans="1:16" ht="15.6" x14ac:dyDescent="0.3">
      <c r="A110" s="6">
        <v>109</v>
      </c>
      <c r="B110" s="15" t="s">
        <v>210</v>
      </c>
      <c r="C110" s="16" t="s">
        <v>211</v>
      </c>
      <c r="D110" s="17" t="s">
        <v>38</v>
      </c>
      <c r="E110" s="17" t="s">
        <v>13</v>
      </c>
      <c r="F110" s="17" t="s">
        <v>377</v>
      </c>
      <c r="G110" s="15">
        <v>146.80000000000001</v>
      </c>
      <c r="H110" s="20">
        <v>450</v>
      </c>
      <c r="I110" s="15">
        <v>900</v>
      </c>
      <c r="J110" s="17" t="s">
        <v>68</v>
      </c>
      <c r="K110" s="9" t="s">
        <v>14</v>
      </c>
      <c r="L110" s="10">
        <f t="shared" si="15"/>
        <v>3.065395095367847</v>
      </c>
      <c r="M110" s="10">
        <f t="shared" si="16"/>
        <v>6.1307901907356941</v>
      </c>
      <c r="N110" s="22">
        <f t="shared" si="17"/>
        <v>450</v>
      </c>
      <c r="O110" s="22">
        <f t="shared" si="18"/>
        <v>225</v>
      </c>
      <c r="P110" s="22">
        <f t="shared" si="19"/>
        <v>225</v>
      </c>
    </row>
    <row r="111" spans="1:16" ht="15.6" x14ac:dyDescent="0.3">
      <c r="A111" s="6">
        <v>110</v>
      </c>
      <c r="B111" s="15" t="s">
        <v>220</v>
      </c>
      <c r="C111" s="18" t="s">
        <v>221</v>
      </c>
      <c r="D111" s="17" t="s">
        <v>38</v>
      </c>
      <c r="E111" s="17" t="s">
        <v>13</v>
      </c>
      <c r="F111" s="17" t="s">
        <v>377</v>
      </c>
      <c r="G111" s="15">
        <v>142.5</v>
      </c>
      <c r="H111" s="20">
        <v>450</v>
      </c>
      <c r="I111" s="15">
        <v>900</v>
      </c>
      <c r="J111" s="17" t="s">
        <v>68</v>
      </c>
      <c r="K111" s="9" t="s">
        <v>14</v>
      </c>
      <c r="L111" s="10">
        <f t="shared" si="15"/>
        <v>3.1578947368421053</v>
      </c>
      <c r="M111" s="10">
        <f t="shared" si="16"/>
        <v>6.3157894736842106</v>
      </c>
      <c r="N111" s="19">
        <f t="shared" si="17"/>
        <v>450</v>
      </c>
      <c r="O111" s="19">
        <f t="shared" si="18"/>
        <v>225</v>
      </c>
      <c r="P111" s="19">
        <f t="shared" si="19"/>
        <v>225</v>
      </c>
    </row>
    <row r="112" spans="1:16" ht="15.6" x14ac:dyDescent="0.3">
      <c r="A112" s="6">
        <v>111</v>
      </c>
      <c r="B112" s="15" t="s">
        <v>222</v>
      </c>
      <c r="C112" s="16" t="s">
        <v>223</v>
      </c>
      <c r="D112" s="17" t="s">
        <v>38</v>
      </c>
      <c r="E112" s="17" t="s">
        <v>13</v>
      </c>
      <c r="F112" s="17" t="s">
        <v>377</v>
      </c>
      <c r="G112" s="15">
        <v>141.80000000000001</v>
      </c>
      <c r="H112" s="20">
        <v>450</v>
      </c>
      <c r="I112" s="15">
        <v>900</v>
      </c>
      <c r="J112" s="17" t="s">
        <v>68</v>
      </c>
      <c r="K112" s="9" t="s">
        <v>14</v>
      </c>
      <c r="L112" s="10">
        <f t="shared" si="15"/>
        <v>3.1734837799717912</v>
      </c>
      <c r="M112" s="10">
        <f t="shared" si="16"/>
        <v>6.3469675599435824</v>
      </c>
      <c r="N112" s="19">
        <f t="shared" si="17"/>
        <v>450</v>
      </c>
      <c r="O112" s="19">
        <f t="shared" si="18"/>
        <v>225</v>
      </c>
      <c r="P112" s="19">
        <f t="shared" si="19"/>
        <v>225</v>
      </c>
    </row>
    <row r="113" spans="1:16" ht="15.6" x14ac:dyDescent="0.3">
      <c r="A113" s="6">
        <v>112</v>
      </c>
      <c r="B113" s="7" t="s">
        <v>236</v>
      </c>
      <c r="C113" s="8" t="s">
        <v>237</v>
      </c>
      <c r="D113" s="17" t="s">
        <v>38</v>
      </c>
      <c r="E113" s="17" t="s">
        <v>13</v>
      </c>
      <c r="F113" s="17" t="s">
        <v>377</v>
      </c>
      <c r="G113" s="23">
        <v>136</v>
      </c>
      <c r="H113" s="20">
        <v>450</v>
      </c>
      <c r="I113" s="20">
        <v>900</v>
      </c>
      <c r="J113" s="17" t="s">
        <v>68</v>
      </c>
      <c r="K113" s="9" t="s">
        <v>14</v>
      </c>
      <c r="L113" s="10">
        <f t="shared" si="15"/>
        <v>3.3088235294117645</v>
      </c>
      <c r="M113" s="10">
        <f t="shared" si="16"/>
        <v>6.617647058823529</v>
      </c>
      <c r="N113" s="19">
        <f t="shared" si="17"/>
        <v>450</v>
      </c>
      <c r="O113" s="19">
        <f t="shared" si="18"/>
        <v>225</v>
      </c>
      <c r="P113" s="19">
        <f t="shared" si="19"/>
        <v>225</v>
      </c>
    </row>
    <row r="114" spans="1:16" ht="15.6" x14ac:dyDescent="0.3">
      <c r="A114" s="6">
        <v>113</v>
      </c>
      <c r="B114" s="15" t="s">
        <v>238</v>
      </c>
      <c r="C114" s="16" t="s">
        <v>239</v>
      </c>
      <c r="D114" s="17" t="s">
        <v>38</v>
      </c>
      <c r="E114" s="17" t="s">
        <v>13</v>
      </c>
      <c r="F114" s="17" t="s">
        <v>377</v>
      </c>
      <c r="G114" s="15">
        <v>135.69999999999999</v>
      </c>
      <c r="H114" s="20">
        <v>450</v>
      </c>
      <c r="I114" s="15">
        <v>900</v>
      </c>
      <c r="J114" s="17" t="s">
        <v>68</v>
      </c>
      <c r="K114" s="9" t="s">
        <v>14</v>
      </c>
      <c r="L114" s="10">
        <f t="shared" si="15"/>
        <v>3.3161385408990425</v>
      </c>
      <c r="M114" s="10">
        <f t="shared" si="16"/>
        <v>6.632277081798085</v>
      </c>
      <c r="N114" s="19">
        <f t="shared" si="17"/>
        <v>450</v>
      </c>
      <c r="O114" s="19">
        <f t="shared" si="18"/>
        <v>225</v>
      </c>
      <c r="P114" s="19">
        <f t="shared" si="19"/>
        <v>225</v>
      </c>
    </row>
    <row r="115" spans="1:16" ht="15.6" x14ac:dyDescent="0.3">
      <c r="A115" s="6">
        <v>114</v>
      </c>
      <c r="B115" s="13" t="s">
        <v>42</v>
      </c>
      <c r="C115" s="14" t="s">
        <v>43</v>
      </c>
      <c r="D115" s="17" t="s">
        <v>44</v>
      </c>
      <c r="E115" s="17" t="s">
        <v>13</v>
      </c>
      <c r="F115" s="17" t="s">
        <v>377</v>
      </c>
      <c r="G115" s="15">
        <v>25</v>
      </c>
      <c r="H115" s="15">
        <v>500</v>
      </c>
      <c r="I115" s="15">
        <v>1000</v>
      </c>
      <c r="J115" s="17" t="s">
        <v>45</v>
      </c>
      <c r="K115" s="9" t="s">
        <v>14</v>
      </c>
      <c r="L115" s="10">
        <f t="shared" si="15"/>
        <v>20</v>
      </c>
      <c r="M115" s="10">
        <f t="shared" si="16"/>
        <v>40</v>
      </c>
      <c r="N115" s="19">
        <f t="shared" si="17"/>
        <v>500</v>
      </c>
      <c r="O115" s="19">
        <f t="shared" si="18"/>
        <v>250</v>
      </c>
      <c r="P115" s="19">
        <f t="shared" si="19"/>
        <v>250</v>
      </c>
    </row>
    <row r="116" spans="1:16" ht="15.6" x14ac:dyDescent="0.3">
      <c r="A116" s="6">
        <v>115</v>
      </c>
      <c r="B116" s="15" t="s">
        <v>130</v>
      </c>
      <c r="C116" s="16" t="s">
        <v>131</v>
      </c>
      <c r="D116" s="17" t="s">
        <v>38</v>
      </c>
      <c r="E116" s="17" t="s">
        <v>13</v>
      </c>
      <c r="F116" s="17" t="s">
        <v>377</v>
      </c>
      <c r="G116" s="15">
        <v>163.5</v>
      </c>
      <c r="H116" s="20">
        <v>500</v>
      </c>
      <c r="I116" s="15">
        <v>1000</v>
      </c>
      <c r="J116" s="17" t="s">
        <v>68</v>
      </c>
      <c r="K116" s="9" t="s">
        <v>14</v>
      </c>
      <c r="L116" s="10">
        <f t="shared" si="15"/>
        <v>3.0581039755351682</v>
      </c>
      <c r="M116" s="10">
        <f t="shared" si="16"/>
        <v>6.1162079510703364</v>
      </c>
      <c r="N116" s="22">
        <f t="shared" si="17"/>
        <v>500</v>
      </c>
      <c r="O116" s="22">
        <f t="shared" si="18"/>
        <v>250</v>
      </c>
      <c r="P116" s="22">
        <f t="shared" si="19"/>
        <v>250</v>
      </c>
    </row>
    <row r="117" spans="1:16" ht="15.6" x14ac:dyDescent="0.3">
      <c r="A117" s="6">
        <v>116</v>
      </c>
      <c r="B117" s="15" t="s">
        <v>165</v>
      </c>
      <c r="C117" s="31" t="s">
        <v>166</v>
      </c>
      <c r="D117" s="17" t="s">
        <v>38</v>
      </c>
      <c r="E117" s="17" t="s">
        <v>13</v>
      </c>
      <c r="F117" s="17" t="s">
        <v>377</v>
      </c>
      <c r="G117" s="15">
        <v>160</v>
      </c>
      <c r="H117" s="20">
        <v>500</v>
      </c>
      <c r="I117" s="15">
        <v>1000</v>
      </c>
      <c r="J117" s="17" t="s">
        <v>123</v>
      </c>
      <c r="K117" s="9" t="s">
        <v>14</v>
      </c>
      <c r="L117" s="10">
        <f t="shared" si="15"/>
        <v>3.125</v>
      </c>
      <c r="M117" s="10">
        <f t="shared" si="16"/>
        <v>6.25</v>
      </c>
      <c r="N117" s="19">
        <f t="shared" si="17"/>
        <v>500</v>
      </c>
      <c r="O117" s="19">
        <f t="shared" si="18"/>
        <v>250</v>
      </c>
      <c r="P117" s="19">
        <f t="shared" si="19"/>
        <v>250</v>
      </c>
    </row>
    <row r="118" spans="1:16" ht="15.6" x14ac:dyDescent="0.3">
      <c r="A118" s="6">
        <v>117</v>
      </c>
      <c r="B118" s="15" t="s">
        <v>169</v>
      </c>
      <c r="C118" s="16" t="s">
        <v>170</v>
      </c>
      <c r="D118" s="17" t="s">
        <v>38</v>
      </c>
      <c r="E118" s="17" t="s">
        <v>13</v>
      </c>
      <c r="F118" s="17" t="s">
        <v>377</v>
      </c>
      <c r="G118" s="15">
        <v>156.1</v>
      </c>
      <c r="H118" s="20">
        <v>500</v>
      </c>
      <c r="I118" s="15">
        <v>1000</v>
      </c>
      <c r="J118" s="17" t="s">
        <v>68</v>
      </c>
      <c r="K118" s="9" t="s">
        <v>14</v>
      </c>
      <c r="L118" s="10">
        <f t="shared" si="15"/>
        <v>3.2030749519538757</v>
      </c>
      <c r="M118" s="10">
        <f t="shared" si="16"/>
        <v>6.4061499039077514</v>
      </c>
      <c r="N118" s="19">
        <f t="shared" si="17"/>
        <v>500</v>
      </c>
      <c r="O118" s="19">
        <f t="shared" si="18"/>
        <v>250</v>
      </c>
      <c r="P118" s="19">
        <f t="shared" si="19"/>
        <v>250</v>
      </c>
    </row>
    <row r="119" spans="1:16" ht="15.6" x14ac:dyDescent="0.3">
      <c r="A119" s="6">
        <v>118</v>
      </c>
      <c r="B119" s="15" t="s">
        <v>179</v>
      </c>
      <c r="C119" s="16" t="s">
        <v>180</v>
      </c>
      <c r="D119" s="17" t="s">
        <v>38</v>
      </c>
      <c r="E119" s="17" t="s">
        <v>13</v>
      </c>
      <c r="F119" s="17" t="s">
        <v>377</v>
      </c>
      <c r="G119" s="15">
        <v>163.5</v>
      </c>
      <c r="H119" s="20">
        <v>500</v>
      </c>
      <c r="I119" s="15">
        <v>1000</v>
      </c>
      <c r="J119" s="17" t="s">
        <v>68</v>
      </c>
      <c r="K119" s="9" t="s">
        <v>14</v>
      </c>
      <c r="L119" s="10">
        <f t="shared" si="15"/>
        <v>3.0581039755351682</v>
      </c>
      <c r="M119" s="10">
        <f t="shared" si="16"/>
        <v>6.1162079510703364</v>
      </c>
      <c r="N119" s="19">
        <f t="shared" si="17"/>
        <v>500</v>
      </c>
      <c r="O119" s="19">
        <f t="shared" si="18"/>
        <v>250</v>
      </c>
      <c r="P119" s="19">
        <f t="shared" si="19"/>
        <v>250</v>
      </c>
    </row>
    <row r="120" spans="1:16" ht="15.6" x14ac:dyDescent="0.3">
      <c r="A120" s="6">
        <v>119</v>
      </c>
      <c r="B120" s="15" t="s">
        <v>212</v>
      </c>
      <c r="C120" s="31" t="s">
        <v>213</v>
      </c>
      <c r="D120" s="17" t="s">
        <v>38</v>
      </c>
      <c r="E120" s="17" t="s">
        <v>13</v>
      </c>
      <c r="F120" s="17" t="s">
        <v>377</v>
      </c>
      <c r="G120" s="15">
        <v>162.30000000000001</v>
      </c>
      <c r="H120" s="20">
        <v>500</v>
      </c>
      <c r="I120" s="15">
        <v>1000</v>
      </c>
      <c r="J120" s="17" t="s">
        <v>68</v>
      </c>
      <c r="K120" s="9" t="s">
        <v>14</v>
      </c>
      <c r="L120" s="10">
        <f t="shared" si="15"/>
        <v>3.0807147258163892</v>
      </c>
      <c r="M120" s="10">
        <f t="shared" si="16"/>
        <v>6.1614294516327783</v>
      </c>
      <c r="N120" s="19">
        <f t="shared" si="17"/>
        <v>500</v>
      </c>
      <c r="O120" s="19">
        <f t="shared" si="18"/>
        <v>250</v>
      </c>
      <c r="P120" s="19">
        <f t="shared" si="19"/>
        <v>250</v>
      </c>
    </row>
    <row r="121" spans="1:16" ht="15.6" x14ac:dyDescent="0.3">
      <c r="A121" s="6">
        <v>120</v>
      </c>
      <c r="B121" s="7" t="s">
        <v>214</v>
      </c>
      <c r="C121" s="8" t="s">
        <v>215</v>
      </c>
      <c r="D121" s="17" t="s">
        <v>38</v>
      </c>
      <c r="E121" s="17" t="s">
        <v>13</v>
      </c>
      <c r="F121" s="17" t="s">
        <v>377</v>
      </c>
      <c r="G121" s="23">
        <v>162</v>
      </c>
      <c r="H121" s="20">
        <v>500</v>
      </c>
      <c r="I121" s="20">
        <v>1000</v>
      </c>
      <c r="J121" s="17" t="s">
        <v>68</v>
      </c>
      <c r="K121" s="9" t="s">
        <v>14</v>
      </c>
      <c r="L121" s="10">
        <f t="shared" si="15"/>
        <v>3.0864197530864197</v>
      </c>
      <c r="M121" s="10">
        <f t="shared" si="16"/>
        <v>6.1728395061728394</v>
      </c>
      <c r="N121" s="19">
        <f t="shared" si="17"/>
        <v>500</v>
      </c>
      <c r="O121" s="19">
        <f t="shared" si="18"/>
        <v>250</v>
      </c>
      <c r="P121" s="19">
        <f t="shared" si="19"/>
        <v>250</v>
      </c>
    </row>
    <row r="122" spans="1:16" ht="15.6" x14ac:dyDescent="0.3">
      <c r="A122" s="6">
        <v>121</v>
      </c>
      <c r="B122" s="7" t="s">
        <v>224</v>
      </c>
      <c r="C122" s="8" t="s">
        <v>225</v>
      </c>
      <c r="D122" s="17" t="s">
        <v>38</v>
      </c>
      <c r="E122" s="17" t="s">
        <v>13</v>
      </c>
      <c r="F122" s="17" t="s">
        <v>377</v>
      </c>
      <c r="G122" s="23">
        <v>157</v>
      </c>
      <c r="H122" s="20">
        <v>500</v>
      </c>
      <c r="I122" s="20">
        <v>1000</v>
      </c>
      <c r="J122" s="17" t="s">
        <v>68</v>
      </c>
      <c r="K122" s="9" t="s">
        <v>14</v>
      </c>
      <c r="L122" s="10">
        <f t="shared" si="15"/>
        <v>3.1847133757961785</v>
      </c>
      <c r="M122" s="10">
        <f t="shared" si="16"/>
        <v>6.369426751592357</v>
      </c>
      <c r="N122" s="19">
        <f t="shared" si="17"/>
        <v>500</v>
      </c>
      <c r="O122" s="19">
        <f t="shared" si="18"/>
        <v>250</v>
      </c>
      <c r="P122" s="19">
        <f t="shared" si="19"/>
        <v>250</v>
      </c>
    </row>
    <row r="123" spans="1:16" ht="15.6" x14ac:dyDescent="0.3">
      <c r="A123" s="6">
        <v>122</v>
      </c>
      <c r="B123" s="15" t="s">
        <v>226</v>
      </c>
      <c r="C123" s="16" t="s">
        <v>227</v>
      </c>
      <c r="D123" s="17" t="s">
        <v>38</v>
      </c>
      <c r="E123" s="17" t="s">
        <v>13</v>
      </c>
      <c r="F123" s="17" t="s">
        <v>377</v>
      </c>
      <c r="G123" s="15">
        <v>156.9</v>
      </c>
      <c r="H123" s="20">
        <v>500</v>
      </c>
      <c r="I123" s="15">
        <v>1000</v>
      </c>
      <c r="J123" s="17" t="s">
        <v>68</v>
      </c>
      <c r="K123" s="9" t="s">
        <v>14</v>
      </c>
      <c r="L123" s="10">
        <f t="shared" si="15"/>
        <v>3.1867431485022304</v>
      </c>
      <c r="M123" s="10">
        <f t="shared" si="16"/>
        <v>6.3734862970044608</v>
      </c>
      <c r="N123" s="19">
        <f t="shared" si="17"/>
        <v>500</v>
      </c>
      <c r="O123" s="19">
        <f t="shared" si="18"/>
        <v>250</v>
      </c>
      <c r="P123" s="19">
        <f t="shared" si="19"/>
        <v>250</v>
      </c>
    </row>
    <row r="124" spans="1:16" ht="15.6" x14ac:dyDescent="0.3">
      <c r="A124" s="6">
        <v>123</v>
      </c>
      <c r="B124" s="15" t="s">
        <v>232</v>
      </c>
      <c r="C124" s="16" t="s">
        <v>233</v>
      </c>
      <c r="D124" s="17" t="s">
        <v>38</v>
      </c>
      <c r="E124" s="17" t="s">
        <v>13</v>
      </c>
      <c r="F124" s="17" t="s">
        <v>377</v>
      </c>
      <c r="G124" s="15">
        <v>151.5</v>
      </c>
      <c r="H124" s="20">
        <v>500</v>
      </c>
      <c r="I124" s="15">
        <v>1000</v>
      </c>
      <c r="J124" s="17" t="s">
        <v>68</v>
      </c>
      <c r="K124" s="9" t="s">
        <v>14</v>
      </c>
      <c r="L124" s="10">
        <f t="shared" si="15"/>
        <v>3.3003300330033003</v>
      </c>
      <c r="M124" s="10">
        <f t="shared" si="16"/>
        <v>6.6006600660066006</v>
      </c>
      <c r="N124" s="19">
        <f t="shared" si="17"/>
        <v>500</v>
      </c>
      <c r="O124" s="19">
        <f t="shared" si="18"/>
        <v>250</v>
      </c>
      <c r="P124" s="19">
        <f t="shared" si="19"/>
        <v>250</v>
      </c>
    </row>
    <row r="125" spans="1:16" ht="15.6" x14ac:dyDescent="0.3">
      <c r="A125" s="6">
        <v>124</v>
      </c>
      <c r="B125" s="15" t="s">
        <v>155</v>
      </c>
      <c r="C125" s="16" t="s">
        <v>156</v>
      </c>
      <c r="D125" s="17" t="s">
        <v>38</v>
      </c>
      <c r="E125" s="17" t="s">
        <v>13</v>
      </c>
      <c r="F125" s="17" t="s">
        <v>377</v>
      </c>
      <c r="G125" s="15">
        <v>180.2</v>
      </c>
      <c r="H125" s="20">
        <v>550</v>
      </c>
      <c r="I125" s="15">
        <v>1100</v>
      </c>
      <c r="J125" s="17" t="s">
        <v>68</v>
      </c>
      <c r="K125" s="9" t="s">
        <v>14</v>
      </c>
      <c r="L125" s="10">
        <f t="shared" si="15"/>
        <v>3.0521642619311877</v>
      </c>
      <c r="M125" s="10">
        <f t="shared" si="16"/>
        <v>6.1043285238623755</v>
      </c>
      <c r="N125" s="19">
        <f t="shared" si="17"/>
        <v>550</v>
      </c>
      <c r="O125" s="19">
        <f t="shared" si="18"/>
        <v>275</v>
      </c>
      <c r="P125" s="19">
        <f t="shared" si="19"/>
        <v>275</v>
      </c>
    </row>
    <row r="126" spans="1:16" ht="15.6" x14ac:dyDescent="0.3">
      <c r="A126" s="6">
        <v>125</v>
      </c>
      <c r="B126" s="15" t="s">
        <v>157</v>
      </c>
      <c r="C126" s="16" t="s">
        <v>158</v>
      </c>
      <c r="D126" s="17" t="s">
        <v>38</v>
      </c>
      <c r="E126" s="17" t="s">
        <v>13</v>
      </c>
      <c r="F126" s="17" t="s">
        <v>377</v>
      </c>
      <c r="G126" s="15">
        <v>180.2</v>
      </c>
      <c r="H126" s="20">
        <v>550</v>
      </c>
      <c r="I126" s="15">
        <v>1100</v>
      </c>
      <c r="J126" s="17" t="s">
        <v>68</v>
      </c>
      <c r="K126" s="9" t="s">
        <v>14</v>
      </c>
      <c r="L126" s="10">
        <f t="shared" si="15"/>
        <v>3.0521642619311877</v>
      </c>
      <c r="M126" s="10">
        <f t="shared" si="16"/>
        <v>6.1043285238623755</v>
      </c>
      <c r="N126" s="19">
        <f t="shared" si="17"/>
        <v>550</v>
      </c>
      <c r="O126" s="19">
        <f t="shared" si="18"/>
        <v>275</v>
      </c>
      <c r="P126" s="19">
        <f t="shared" si="19"/>
        <v>275</v>
      </c>
    </row>
    <row r="127" spans="1:16" ht="15.6" x14ac:dyDescent="0.3">
      <c r="A127" s="6">
        <v>126</v>
      </c>
      <c r="B127" s="15" t="s">
        <v>175</v>
      </c>
      <c r="C127" s="16" t="s">
        <v>176</v>
      </c>
      <c r="D127" s="17" t="s">
        <v>38</v>
      </c>
      <c r="E127" s="17" t="s">
        <v>13</v>
      </c>
      <c r="F127" s="17" t="s">
        <v>377</v>
      </c>
      <c r="G127" s="15">
        <v>180.2</v>
      </c>
      <c r="H127" s="20">
        <v>550</v>
      </c>
      <c r="I127" s="15">
        <v>1100</v>
      </c>
      <c r="J127" s="17" t="s">
        <v>68</v>
      </c>
      <c r="K127" s="9" t="s">
        <v>14</v>
      </c>
      <c r="L127" s="10">
        <f t="shared" si="15"/>
        <v>3.0521642619311877</v>
      </c>
      <c r="M127" s="10">
        <f t="shared" si="16"/>
        <v>6.1043285238623755</v>
      </c>
      <c r="N127" s="19">
        <f t="shared" si="17"/>
        <v>550</v>
      </c>
      <c r="O127" s="19">
        <f t="shared" si="18"/>
        <v>275</v>
      </c>
      <c r="P127" s="19">
        <f t="shared" si="19"/>
        <v>275</v>
      </c>
    </row>
    <row r="128" spans="1:16" ht="15.6" x14ac:dyDescent="0.3">
      <c r="A128" s="6">
        <v>127</v>
      </c>
      <c r="B128" s="7" t="s">
        <v>177</v>
      </c>
      <c r="C128" s="8" t="s">
        <v>178</v>
      </c>
      <c r="D128" s="17" t="s">
        <v>38</v>
      </c>
      <c r="E128" s="17" t="s">
        <v>13</v>
      </c>
      <c r="F128" s="17" t="s">
        <v>377</v>
      </c>
      <c r="G128" s="23">
        <v>180</v>
      </c>
      <c r="H128" s="20">
        <v>550</v>
      </c>
      <c r="I128" s="20">
        <v>1100</v>
      </c>
      <c r="J128" s="17" t="s">
        <v>68</v>
      </c>
      <c r="K128" s="9" t="s">
        <v>14</v>
      </c>
      <c r="L128" s="10">
        <f t="shared" si="15"/>
        <v>3.0555555555555554</v>
      </c>
      <c r="M128" s="10">
        <f t="shared" si="16"/>
        <v>6.1111111111111107</v>
      </c>
      <c r="N128" s="19">
        <f t="shared" si="17"/>
        <v>550</v>
      </c>
      <c r="O128" s="19">
        <f t="shared" si="18"/>
        <v>275</v>
      </c>
      <c r="P128" s="19">
        <f t="shared" si="19"/>
        <v>275</v>
      </c>
    </row>
    <row r="129" spans="1:16" ht="15.6" x14ac:dyDescent="0.3">
      <c r="A129" s="6">
        <v>128</v>
      </c>
      <c r="B129" s="24" t="s">
        <v>186</v>
      </c>
      <c r="C129" s="25" t="s">
        <v>187</v>
      </c>
      <c r="D129" s="11" t="s">
        <v>38</v>
      </c>
      <c r="E129" s="17" t="s">
        <v>13</v>
      </c>
      <c r="F129" s="17" t="s">
        <v>377</v>
      </c>
      <c r="G129" s="21">
        <v>180</v>
      </c>
      <c r="H129" s="20">
        <v>550</v>
      </c>
      <c r="I129" s="15">
        <v>1100</v>
      </c>
      <c r="J129" s="12" t="s">
        <v>123</v>
      </c>
      <c r="K129" s="9" t="s">
        <v>14</v>
      </c>
      <c r="L129" s="10">
        <f t="shared" si="15"/>
        <v>3.0555555555555554</v>
      </c>
      <c r="M129" s="10">
        <f t="shared" si="16"/>
        <v>6.1111111111111107</v>
      </c>
      <c r="N129" s="19">
        <f t="shared" si="17"/>
        <v>550</v>
      </c>
      <c r="O129" s="19">
        <f t="shared" si="18"/>
        <v>275</v>
      </c>
      <c r="P129" s="19">
        <f t="shared" si="19"/>
        <v>275</v>
      </c>
    </row>
    <row r="130" spans="1:16" ht="15.6" x14ac:dyDescent="0.3">
      <c r="A130" s="6">
        <v>129</v>
      </c>
      <c r="B130" s="15" t="s">
        <v>171</v>
      </c>
      <c r="C130" s="18" t="s">
        <v>172</v>
      </c>
      <c r="D130" s="17" t="s">
        <v>38</v>
      </c>
      <c r="E130" s="17" t="s">
        <v>13</v>
      </c>
      <c r="F130" s="17" t="s">
        <v>377</v>
      </c>
      <c r="G130" s="15">
        <v>187</v>
      </c>
      <c r="H130" s="20">
        <v>600</v>
      </c>
      <c r="I130" s="15">
        <v>1200</v>
      </c>
      <c r="J130" s="17" t="s">
        <v>94</v>
      </c>
      <c r="K130" s="9" t="s">
        <v>14</v>
      </c>
      <c r="L130" s="10">
        <f t="shared" ref="L130:L148" si="20">H130/G130</f>
        <v>3.2085561497326203</v>
      </c>
      <c r="M130" s="10">
        <f t="shared" ref="M130:M148" si="21">I130/G130</f>
        <v>6.4171122994652405</v>
      </c>
      <c r="N130" s="19">
        <f t="shared" ref="N130:N148" si="22">I130-H130</f>
        <v>600</v>
      </c>
      <c r="O130" s="19">
        <f t="shared" ref="O130:O161" si="23">N130/2</f>
        <v>300</v>
      </c>
      <c r="P130" s="19">
        <f t="shared" ref="P130:P161" si="24">O130</f>
        <v>300</v>
      </c>
    </row>
    <row r="131" spans="1:16" ht="15.6" x14ac:dyDescent="0.3">
      <c r="A131" s="6">
        <v>130</v>
      </c>
      <c r="B131" s="9" t="s">
        <v>200</v>
      </c>
      <c r="C131" s="25" t="s">
        <v>201</v>
      </c>
      <c r="D131" s="11" t="s">
        <v>38</v>
      </c>
      <c r="E131" s="17" t="s">
        <v>13</v>
      </c>
      <c r="F131" s="17" t="s">
        <v>377</v>
      </c>
      <c r="G131" s="21">
        <v>200</v>
      </c>
      <c r="H131" s="20">
        <v>600</v>
      </c>
      <c r="I131" s="15">
        <f>G131*6</f>
        <v>1200</v>
      </c>
      <c r="J131" s="12" t="s">
        <v>123</v>
      </c>
      <c r="K131" s="9" t="s">
        <v>14</v>
      </c>
      <c r="L131" s="10">
        <f t="shared" si="20"/>
        <v>3</v>
      </c>
      <c r="M131" s="10">
        <f t="shared" si="21"/>
        <v>6</v>
      </c>
      <c r="N131" s="19">
        <f t="shared" si="22"/>
        <v>600</v>
      </c>
      <c r="O131" s="19">
        <f t="shared" si="23"/>
        <v>300</v>
      </c>
      <c r="P131" s="19">
        <f t="shared" si="24"/>
        <v>300</v>
      </c>
    </row>
    <row r="132" spans="1:16" ht="15.6" x14ac:dyDescent="0.3">
      <c r="A132" s="6">
        <v>131</v>
      </c>
      <c r="B132" s="15" t="s">
        <v>202</v>
      </c>
      <c r="C132" s="18" t="s">
        <v>203</v>
      </c>
      <c r="D132" s="17" t="s">
        <v>38</v>
      </c>
      <c r="E132" s="17" t="s">
        <v>13</v>
      </c>
      <c r="F132" s="17" t="s">
        <v>377</v>
      </c>
      <c r="G132" s="15">
        <v>216.4</v>
      </c>
      <c r="H132" s="20">
        <v>650</v>
      </c>
      <c r="I132" s="15">
        <v>1300</v>
      </c>
      <c r="J132" s="17" t="s">
        <v>68</v>
      </c>
      <c r="K132" s="9" t="s">
        <v>14</v>
      </c>
      <c r="L132" s="10">
        <f t="shared" si="20"/>
        <v>3.0036968576709797</v>
      </c>
      <c r="M132" s="10">
        <f t="shared" si="21"/>
        <v>6.0073937153419594</v>
      </c>
      <c r="N132" s="19">
        <f t="shared" si="22"/>
        <v>650</v>
      </c>
      <c r="O132" s="19">
        <f t="shared" si="23"/>
        <v>325</v>
      </c>
      <c r="P132" s="19">
        <f t="shared" si="24"/>
        <v>325</v>
      </c>
    </row>
    <row r="133" spans="1:16" ht="15.6" x14ac:dyDescent="0.3">
      <c r="A133" s="6">
        <v>132</v>
      </c>
      <c r="B133" s="15" t="s">
        <v>218</v>
      </c>
      <c r="C133" s="18" t="s">
        <v>219</v>
      </c>
      <c r="D133" s="17" t="s">
        <v>38</v>
      </c>
      <c r="E133" s="17" t="s">
        <v>13</v>
      </c>
      <c r="F133" s="17" t="s">
        <v>377</v>
      </c>
      <c r="G133" s="15">
        <v>208.1</v>
      </c>
      <c r="H133" s="20">
        <v>650</v>
      </c>
      <c r="I133" s="15">
        <v>1300</v>
      </c>
      <c r="J133" s="17" t="s">
        <v>68</v>
      </c>
      <c r="K133" s="9" t="s">
        <v>14</v>
      </c>
      <c r="L133" s="10">
        <f t="shared" si="20"/>
        <v>3.1234983181162903</v>
      </c>
      <c r="M133" s="10">
        <f t="shared" si="21"/>
        <v>6.2469966362325806</v>
      </c>
      <c r="N133" s="19">
        <f t="shared" si="22"/>
        <v>650</v>
      </c>
      <c r="O133" s="19">
        <f t="shared" si="23"/>
        <v>325</v>
      </c>
      <c r="P133" s="19">
        <f t="shared" si="24"/>
        <v>325</v>
      </c>
    </row>
    <row r="134" spans="1:16" ht="15.6" x14ac:dyDescent="0.3">
      <c r="A134" s="6">
        <v>133</v>
      </c>
      <c r="B134" s="15" t="s">
        <v>167</v>
      </c>
      <c r="C134" s="8" t="s">
        <v>168</v>
      </c>
      <c r="D134" s="17" t="s">
        <v>38</v>
      </c>
      <c r="E134" s="17" t="s">
        <v>13</v>
      </c>
      <c r="F134" s="17" t="s">
        <v>377</v>
      </c>
      <c r="G134" s="23">
        <v>232.12</v>
      </c>
      <c r="H134" s="20">
        <v>700</v>
      </c>
      <c r="I134" s="20">
        <v>1400</v>
      </c>
      <c r="J134" s="17" t="s">
        <v>39</v>
      </c>
      <c r="K134" s="9" t="s">
        <v>14</v>
      </c>
      <c r="L134" s="10">
        <f t="shared" si="20"/>
        <v>3.0156815440289506</v>
      </c>
      <c r="M134" s="10">
        <f t="shared" si="21"/>
        <v>6.0313630880579012</v>
      </c>
      <c r="N134" s="19">
        <f t="shared" si="22"/>
        <v>700</v>
      </c>
      <c r="O134" s="19">
        <f t="shared" si="23"/>
        <v>350</v>
      </c>
      <c r="P134" s="19">
        <f t="shared" si="24"/>
        <v>350</v>
      </c>
    </row>
    <row r="135" spans="1:16" ht="15.6" x14ac:dyDescent="0.3">
      <c r="A135" s="6">
        <v>134</v>
      </c>
      <c r="B135" s="7" t="s">
        <v>204</v>
      </c>
      <c r="C135" s="18" t="s">
        <v>205</v>
      </c>
      <c r="D135" s="17" t="s">
        <v>38</v>
      </c>
      <c r="E135" s="17" t="s">
        <v>13</v>
      </c>
      <c r="F135" s="17" t="s">
        <v>377</v>
      </c>
      <c r="G135" s="23">
        <v>265.64999999999998</v>
      </c>
      <c r="H135" s="20">
        <v>800</v>
      </c>
      <c r="I135" s="20">
        <v>1600</v>
      </c>
      <c r="J135" s="17" t="s">
        <v>39</v>
      </c>
      <c r="K135" s="9" t="s">
        <v>14</v>
      </c>
      <c r="L135" s="10">
        <f t="shared" si="20"/>
        <v>3.0114812723508377</v>
      </c>
      <c r="M135" s="10">
        <f t="shared" si="21"/>
        <v>6.0229625447016755</v>
      </c>
      <c r="N135" s="19">
        <f t="shared" si="22"/>
        <v>800</v>
      </c>
      <c r="O135" s="19">
        <f t="shared" si="23"/>
        <v>400</v>
      </c>
      <c r="P135" s="19">
        <f t="shared" si="24"/>
        <v>400</v>
      </c>
    </row>
    <row r="136" spans="1:16" ht="15.6" x14ac:dyDescent="0.3">
      <c r="A136" s="6">
        <v>135</v>
      </c>
      <c r="B136" s="15" t="s">
        <v>206</v>
      </c>
      <c r="C136" s="16" t="s">
        <v>207</v>
      </c>
      <c r="D136" s="17" t="s">
        <v>38</v>
      </c>
      <c r="E136" s="17" t="s">
        <v>13</v>
      </c>
      <c r="F136" s="17" t="s">
        <v>377</v>
      </c>
      <c r="G136" s="15">
        <v>281.3</v>
      </c>
      <c r="H136" s="20">
        <v>850</v>
      </c>
      <c r="I136" s="15">
        <v>1700</v>
      </c>
      <c r="J136" s="17" t="s">
        <v>68</v>
      </c>
      <c r="K136" s="9" t="s">
        <v>14</v>
      </c>
      <c r="L136" s="10">
        <f t="shared" si="20"/>
        <v>3.021685033771774</v>
      </c>
      <c r="M136" s="10">
        <f t="shared" si="21"/>
        <v>6.043370067543548</v>
      </c>
      <c r="N136" s="19">
        <f t="shared" si="22"/>
        <v>850</v>
      </c>
      <c r="O136" s="19">
        <f t="shared" si="23"/>
        <v>425</v>
      </c>
      <c r="P136" s="19">
        <f t="shared" si="24"/>
        <v>425</v>
      </c>
    </row>
    <row r="137" spans="1:16" ht="15.6" x14ac:dyDescent="0.3">
      <c r="A137" s="6">
        <v>136</v>
      </c>
      <c r="B137" s="13" t="s">
        <v>46</v>
      </c>
      <c r="C137" s="14" t="s">
        <v>47</v>
      </c>
      <c r="D137" s="17" t="s">
        <v>44</v>
      </c>
      <c r="E137" s="17" t="s">
        <v>13</v>
      </c>
      <c r="F137" s="17" t="s">
        <v>377</v>
      </c>
      <c r="G137" s="9">
        <v>175</v>
      </c>
      <c r="H137" s="15">
        <v>1000</v>
      </c>
      <c r="I137" s="9">
        <v>2000</v>
      </c>
      <c r="J137" s="17" t="s">
        <v>45</v>
      </c>
      <c r="K137" s="9" t="s">
        <v>14</v>
      </c>
      <c r="L137" s="10">
        <f t="shared" si="20"/>
        <v>5.7142857142857144</v>
      </c>
      <c r="M137" s="10">
        <f t="shared" si="21"/>
        <v>11.428571428571429</v>
      </c>
      <c r="N137" s="19">
        <f t="shared" si="22"/>
        <v>1000</v>
      </c>
      <c r="O137" s="19">
        <f t="shared" si="23"/>
        <v>500</v>
      </c>
      <c r="P137" s="19">
        <f t="shared" si="24"/>
        <v>500</v>
      </c>
    </row>
    <row r="138" spans="1:16" ht="15.6" x14ac:dyDescent="0.3">
      <c r="A138" s="6">
        <v>137</v>
      </c>
      <c r="B138" s="13" t="s">
        <v>48</v>
      </c>
      <c r="C138" s="14" t="s">
        <v>49</v>
      </c>
      <c r="D138" s="17" t="s">
        <v>44</v>
      </c>
      <c r="E138" s="17" t="s">
        <v>13</v>
      </c>
      <c r="F138" s="17" t="s">
        <v>377</v>
      </c>
      <c r="G138" s="9">
        <v>175</v>
      </c>
      <c r="H138" s="15">
        <v>1000</v>
      </c>
      <c r="I138" s="9">
        <v>2000</v>
      </c>
      <c r="J138" s="17" t="s">
        <v>45</v>
      </c>
      <c r="K138" s="9" t="s">
        <v>14</v>
      </c>
      <c r="L138" s="10">
        <f t="shared" si="20"/>
        <v>5.7142857142857144</v>
      </c>
      <c r="M138" s="10">
        <f t="shared" si="21"/>
        <v>11.428571428571429</v>
      </c>
      <c r="N138" s="19">
        <f t="shared" si="22"/>
        <v>1000</v>
      </c>
      <c r="O138" s="19">
        <f t="shared" si="23"/>
        <v>500</v>
      </c>
      <c r="P138" s="19">
        <f t="shared" si="24"/>
        <v>500</v>
      </c>
    </row>
    <row r="139" spans="1:16" ht="15.6" x14ac:dyDescent="0.3">
      <c r="A139" s="6">
        <v>138</v>
      </c>
      <c r="B139" s="13" t="s">
        <v>50</v>
      </c>
      <c r="C139" s="14" t="s">
        <v>51</v>
      </c>
      <c r="D139" s="17" t="s">
        <v>44</v>
      </c>
      <c r="E139" s="17" t="s">
        <v>13</v>
      </c>
      <c r="F139" s="17" t="s">
        <v>377</v>
      </c>
      <c r="G139" s="15">
        <v>175</v>
      </c>
      <c r="H139" s="15">
        <v>1000</v>
      </c>
      <c r="I139" s="15">
        <v>2000</v>
      </c>
      <c r="J139" s="17" t="s">
        <v>45</v>
      </c>
      <c r="K139" s="9" t="s">
        <v>14</v>
      </c>
      <c r="L139" s="10">
        <f t="shared" si="20"/>
        <v>5.7142857142857144</v>
      </c>
      <c r="M139" s="10">
        <f t="shared" si="21"/>
        <v>11.428571428571429</v>
      </c>
      <c r="N139" s="19">
        <f t="shared" si="22"/>
        <v>1000</v>
      </c>
      <c r="O139" s="19">
        <f t="shared" si="23"/>
        <v>500</v>
      </c>
      <c r="P139" s="19">
        <f t="shared" si="24"/>
        <v>500</v>
      </c>
    </row>
    <row r="140" spans="1:16" ht="15.6" x14ac:dyDescent="0.3">
      <c r="A140" s="6">
        <v>139</v>
      </c>
      <c r="B140" s="13" t="s">
        <v>52</v>
      </c>
      <c r="C140" s="14" t="s">
        <v>53</v>
      </c>
      <c r="D140" s="17" t="s">
        <v>44</v>
      </c>
      <c r="E140" s="17" t="s">
        <v>13</v>
      </c>
      <c r="F140" s="17" t="s">
        <v>377</v>
      </c>
      <c r="G140" s="9">
        <v>175</v>
      </c>
      <c r="H140" s="15">
        <v>1000</v>
      </c>
      <c r="I140" s="9">
        <v>2000</v>
      </c>
      <c r="J140" s="17" t="s">
        <v>45</v>
      </c>
      <c r="K140" s="9" t="s">
        <v>14</v>
      </c>
      <c r="L140" s="10">
        <f t="shared" si="20"/>
        <v>5.7142857142857144</v>
      </c>
      <c r="M140" s="10">
        <f t="shared" si="21"/>
        <v>11.428571428571429</v>
      </c>
      <c r="N140" s="9">
        <f t="shared" si="22"/>
        <v>1000</v>
      </c>
      <c r="O140" s="9">
        <f t="shared" si="23"/>
        <v>500</v>
      </c>
      <c r="P140" s="9">
        <f t="shared" si="24"/>
        <v>500</v>
      </c>
    </row>
    <row r="141" spans="1:16" ht="15.6" x14ac:dyDescent="0.3">
      <c r="A141" s="6">
        <v>140</v>
      </c>
      <c r="B141" s="13" t="s">
        <v>54</v>
      </c>
      <c r="C141" s="14" t="s">
        <v>55</v>
      </c>
      <c r="D141" s="17" t="s">
        <v>44</v>
      </c>
      <c r="E141" s="17" t="s">
        <v>13</v>
      </c>
      <c r="F141" s="17" t="s">
        <v>377</v>
      </c>
      <c r="G141" s="15">
        <v>175</v>
      </c>
      <c r="H141" s="15">
        <v>1000</v>
      </c>
      <c r="I141" s="15">
        <v>2000</v>
      </c>
      <c r="J141" s="17" t="s">
        <v>45</v>
      </c>
      <c r="K141" s="9" t="s">
        <v>14</v>
      </c>
      <c r="L141" s="10">
        <f t="shared" si="20"/>
        <v>5.7142857142857144</v>
      </c>
      <c r="M141" s="10">
        <f t="shared" si="21"/>
        <v>11.428571428571429</v>
      </c>
      <c r="N141" s="9">
        <f t="shared" si="22"/>
        <v>1000</v>
      </c>
      <c r="O141" s="9">
        <f t="shared" si="23"/>
        <v>500</v>
      </c>
      <c r="P141" s="9">
        <f t="shared" si="24"/>
        <v>500</v>
      </c>
    </row>
    <row r="142" spans="1:16" ht="15.6" x14ac:dyDescent="0.3">
      <c r="A142" s="6">
        <v>141</v>
      </c>
      <c r="B142" s="13" t="s">
        <v>56</v>
      </c>
      <c r="C142" s="14" t="s">
        <v>57</v>
      </c>
      <c r="D142" s="17" t="s">
        <v>44</v>
      </c>
      <c r="E142" s="17" t="s">
        <v>13</v>
      </c>
      <c r="F142" s="17" t="s">
        <v>377</v>
      </c>
      <c r="G142" s="15">
        <v>175</v>
      </c>
      <c r="H142" s="15">
        <v>1000</v>
      </c>
      <c r="I142" s="15">
        <v>2000</v>
      </c>
      <c r="J142" s="17" t="s">
        <v>45</v>
      </c>
      <c r="K142" s="9" t="s">
        <v>14</v>
      </c>
      <c r="L142" s="10">
        <f t="shared" si="20"/>
        <v>5.7142857142857144</v>
      </c>
      <c r="M142" s="10">
        <f t="shared" si="21"/>
        <v>11.428571428571429</v>
      </c>
      <c r="N142" s="9">
        <f t="shared" si="22"/>
        <v>1000</v>
      </c>
      <c r="O142" s="9">
        <f t="shared" si="23"/>
        <v>500</v>
      </c>
      <c r="P142" s="9">
        <f t="shared" si="24"/>
        <v>500</v>
      </c>
    </row>
    <row r="143" spans="1:16" ht="15.6" x14ac:dyDescent="0.3">
      <c r="A143" s="6">
        <v>142</v>
      </c>
      <c r="B143" s="13" t="s">
        <v>58</v>
      </c>
      <c r="C143" s="14" t="s">
        <v>59</v>
      </c>
      <c r="D143" s="17" t="s">
        <v>44</v>
      </c>
      <c r="E143" s="17" t="s">
        <v>13</v>
      </c>
      <c r="F143" s="17" t="s">
        <v>377</v>
      </c>
      <c r="G143" s="15">
        <v>175</v>
      </c>
      <c r="H143" s="15">
        <v>1000</v>
      </c>
      <c r="I143" s="15">
        <v>2000</v>
      </c>
      <c r="J143" s="17" t="s">
        <v>45</v>
      </c>
      <c r="K143" s="9" t="s">
        <v>14</v>
      </c>
      <c r="L143" s="10">
        <f t="shared" si="20"/>
        <v>5.7142857142857144</v>
      </c>
      <c r="M143" s="10">
        <f t="shared" si="21"/>
        <v>11.428571428571429</v>
      </c>
      <c r="N143" s="9">
        <f t="shared" si="22"/>
        <v>1000</v>
      </c>
      <c r="O143" s="9">
        <f t="shared" si="23"/>
        <v>500</v>
      </c>
      <c r="P143" s="9">
        <f t="shared" si="24"/>
        <v>500</v>
      </c>
    </row>
    <row r="144" spans="1:16" ht="15.6" x14ac:dyDescent="0.3">
      <c r="A144" s="6">
        <v>143</v>
      </c>
      <c r="B144" s="13" t="s">
        <v>60</v>
      </c>
      <c r="C144" s="14" t="s">
        <v>61</v>
      </c>
      <c r="D144" s="17" t="s">
        <v>44</v>
      </c>
      <c r="E144" s="17" t="s">
        <v>13</v>
      </c>
      <c r="F144" s="17" t="s">
        <v>377</v>
      </c>
      <c r="G144" s="15">
        <v>120</v>
      </c>
      <c r="H144" s="15">
        <v>1000</v>
      </c>
      <c r="I144" s="15">
        <v>2000</v>
      </c>
      <c r="J144" s="17" t="s">
        <v>45</v>
      </c>
      <c r="K144" s="9" t="s">
        <v>14</v>
      </c>
      <c r="L144" s="10">
        <f t="shared" si="20"/>
        <v>8.3333333333333339</v>
      </c>
      <c r="M144" s="10">
        <f t="shared" si="21"/>
        <v>16.666666666666668</v>
      </c>
      <c r="N144" s="9">
        <f t="shared" si="22"/>
        <v>1000</v>
      </c>
      <c r="O144" s="9">
        <f t="shared" si="23"/>
        <v>500</v>
      </c>
      <c r="P144" s="9">
        <f t="shared" si="24"/>
        <v>500</v>
      </c>
    </row>
    <row r="145" spans="1:16" ht="15.6" x14ac:dyDescent="0.3">
      <c r="A145" s="6">
        <v>144</v>
      </c>
      <c r="B145" s="13" t="s">
        <v>62</v>
      </c>
      <c r="C145" s="14" t="s">
        <v>63</v>
      </c>
      <c r="D145" s="17" t="s">
        <v>44</v>
      </c>
      <c r="E145" s="17" t="s">
        <v>13</v>
      </c>
      <c r="F145" s="17" t="s">
        <v>377</v>
      </c>
      <c r="G145" s="15">
        <v>120</v>
      </c>
      <c r="H145" s="15">
        <v>1000</v>
      </c>
      <c r="I145" s="15">
        <v>2000</v>
      </c>
      <c r="J145" s="17" t="s">
        <v>45</v>
      </c>
      <c r="K145" s="9" t="s">
        <v>14</v>
      </c>
      <c r="L145" s="10">
        <f t="shared" si="20"/>
        <v>8.3333333333333339</v>
      </c>
      <c r="M145" s="10">
        <f t="shared" si="21"/>
        <v>16.666666666666668</v>
      </c>
      <c r="N145" s="9">
        <f t="shared" si="22"/>
        <v>1000</v>
      </c>
      <c r="O145" s="9">
        <f t="shared" si="23"/>
        <v>500</v>
      </c>
      <c r="P145" s="9">
        <f t="shared" si="24"/>
        <v>500</v>
      </c>
    </row>
    <row r="146" spans="1:16" ht="15.6" x14ac:dyDescent="0.3">
      <c r="A146" s="6">
        <v>145</v>
      </c>
      <c r="B146" s="13" t="s">
        <v>64</v>
      </c>
      <c r="C146" s="14" t="s">
        <v>65</v>
      </c>
      <c r="D146" s="17" t="s">
        <v>44</v>
      </c>
      <c r="E146" s="17" t="s">
        <v>13</v>
      </c>
      <c r="F146" s="17" t="s">
        <v>377</v>
      </c>
      <c r="G146" s="15">
        <v>120</v>
      </c>
      <c r="H146" s="15">
        <v>1000</v>
      </c>
      <c r="I146" s="15">
        <v>2000</v>
      </c>
      <c r="J146" s="17" t="s">
        <v>45</v>
      </c>
      <c r="K146" s="9" t="s">
        <v>14</v>
      </c>
      <c r="L146" s="10">
        <f t="shared" si="20"/>
        <v>8.3333333333333339</v>
      </c>
      <c r="M146" s="10">
        <f t="shared" si="21"/>
        <v>16.666666666666668</v>
      </c>
      <c r="N146" s="9">
        <f t="shared" si="22"/>
        <v>1000</v>
      </c>
      <c r="O146" s="9">
        <f t="shared" si="23"/>
        <v>500</v>
      </c>
      <c r="P146" s="9">
        <f t="shared" si="24"/>
        <v>500</v>
      </c>
    </row>
    <row r="147" spans="1:16" ht="15.6" x14ac:dyDescent="0.3">
      <c r="A147" s="6">
        <v>146</v>
      </c>
      <c r="B147" s="15" t="s">
        <v>103</v>
      </c>
      <c r="C147" s="82" t="s">
        <v>104</v>
      </c>
      <c r="D147" s="17" t="s">
        <v>38</v>
      </c>
      <c r="E147" s="17" t="s">
        <v>13</v>
      </c>
      <c r="F147" s="17" t="s">
        <v>377</v>
      </c>
      <c r="G147" s="15">
        <v>318.20999999999998</v>
      </c>
      <c r="H147" s="20">
        <v>1000</v>
      </c>
      <c r="I147" s="20">
        <v>1600</v>
      </c>
      <c r="J147" s="17" t="s">
        <v>94</v>
      </c>
      <c r="K147" s="9" t="s">
        <v>14</v>
      </c>
      <c r="L147" s="10">
        <f t="shared" si="20"/>
        <v>3.1425788001634145</v>
      </c>
      <c r="M147" s="10">
        <f t="shared" si="21"/>
        <v>5.0281260802614627</v>
      </c>
      <c r="N147" s="9">
        <f t="shared" si="22"/>
        <v>600</v>
      </c>
      <c r="O147" s="9">
        <f t="shared" si="23"/>
        <v>300</v>
      </c>
      <c r="P147" s="9">
        <f t="shared" si="24"/>
        <v>300</v>
      </c>
    </row>
    <row r="148" spans="1:16" ht="15.6" x14ac:dyDescent="0.3">
      <c r="A148" s="6">
        <v>147</v>
      </c>
      <c r="B148" s="15" t="s">
        <v>198</v>
      </c>
      <c r="C148" s="16" t="s">
        <v>199</v>
      </c>
      <c r="D148" s="17" t="s">
        <v>38</v>
      </c>
      <c r="E148" s="17" t="s">
        <v>13</v>
      </c>
      <c r="F148" s="17" t="s">
        <v>377</v>
      </c>
      <c r="G148" s="15">
        <v>391.7</v>
      </c>
      <c r="H148" s="20">
        <v>1200</v>
      </c>
      <c r="I148" s="20">
        <v>2000</v>
      </c>
      <c r="J148" s="17" t="s">
        <v>68</v>
      </c>
      <c r="K148" s="9" t="s">
        <v>14</v>
      </c>
      <c r="L148" s="10">
        <f t="shared" si="20"/>
        <v>3.0635690579525146</v>
      </c>
      <c r="M148" s="10">
        <f t="shared" si="21"/>
        <v>5.1059484299208577</v>
      </c>
      <c r="N148" s="9">
        <f t="shared" si="22"/>
        <v>800</v>
      </c>
      <c r="O148" s="9">
        <f t="shared" si="23"/>
        <v>400</v>
      </c>
      <c r="P148" s="9">
        <f t="shared" si="24"/>
        <v>400</v>
      </c>
    </row>
  </sheetData>
  <autoFilter ref="A1:P1" xr:uid="{08350306-8F9E-4165-9853-64BE4D271DE7}">
    <sortState xmlns:xlrd2="http://schemas.microsoft.com/office/spreadsheetml/2017/richdata2" ref="A2:P148">
      <sortCondition ref="H1"/>
    </sortState>
  </autoFilter>
  <conditionalFormatting sqref="B148:B1048576 B1:B138">
    <cfRule type="duplicateValues" dxfId="2" priority="2"/>
  </conditionalFormatting>
  <conditionalFormatting sqref="G139:G147">
    <cfRule type="expression" dxfId="1" priority="4">
      <formula>AND(G139&lt;&gt;"",G139=MIN($H139:$L139))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F190-7C8A-4520-991D-BCE4DC35110C}">
  <dimension ref="A1:M41"/>
  <sheetViews>
    <sheetView workbookViewId="0">
      <pane ySplit="1" topLeftCell="A30" activePane="bottomLeft" state="frozen"/>
      <selection activeCell="C1" sqref="C1"/>
      <selection pane="bottomLeft" activeCell="I12" sqref="I12"/>
    </sheetView>
  </sheetViews>
  <sheetFormatPr defaultColWidth="9.109375" defaultRowHeight="14.4" x14ac:dyDescent="0.3"/>
  <cols>
    <col min="1" max="1" width="9.109375" style="22"/>
    <col min="2" max="2" width="35.44140625" bestFit="1" customWidth="1"/>
    <col min="3" max="3" width="96.6640625" bestFit="1" customWidth="1"/>
    <col min="4" max="4" width="8.44140625" customWidth="1"/>
    <col min="5" max="5" width="9.109375" hidden="1" customWidth="1"/>
    <col min="6" max="6" width="8.109375" customWidth="1"/>
    <col min="7" max="7" width="9.109375" hidden="1" customWidth="1"/>
    <col min="8" max="9" width="7.5546875" customWidth="1"/>
    <col min="10" max="10" width="8.21875" customWidth="1"/>
  </cols>
  <sheetData>
    <row r="1" spans="1:13" ht="18" customHeight="1" x14ac:dyDescent="0.3">
      <c r="A1" s="42" t="s">
        <v>0</v>
      </c>
      <c r="B1" s="43" t="s">
        <v>339</v>
      </c>
      <c r="C1" s="43" t="s">
        <v>10</v>
      </c>
      <c r="D1" s="42" t="s">
        <v>4</v>
      </c>
      <c r="E1" s="42" t="s">
        <v>5</v>
      </c>
      <c r="F1" s="42" t="s">
        <v>340</v>
      </c>
      <c r="G1" s="42" t="s">
        <v>6</v>
      </c>
      <c r="H1" s="42" t="s">
        <v>341</v>
      </c>
      <c r="I1" s="42" t="s">
        <v>7</v>
      </c>
      <c r="J1" s="42" t="s">
        <v>8</v>
      </c>
      <c r="K1" s="42" t="s">
        <v>35</v>
      </c>
      <c r="L1" s="42" t="s">
        <v>36</v>
      </c>
      <c r="M1" s="42" t="s">
        <v>37</v>
      </c>
    </row>
    <row r="2" spans="1:13" ht="18" customHeight="1" x14ac:dyDescent="0.3">
      <c r="A2" s="44">
        <v>1</v>
      </c>
      <c r="B2" s="45" t="s">
        <v>402</v>
      </c>
      <c r="C2" s="46" t="s">
        <v>342</v>
      </c>
      <c r="D2" s="47">
        <v>107</v>
      </c>
      <c r="E2" s="44">
        <f t="shared" ref="E2:E28" si="0">D2*3</f>
        <v>321</v>
      </c>
      <c r="F2" s="44">
        <f t="shared" ref="F2:F28" si="1">CEILING(E2,100)</f>
        <v>400</v>
      </c>
      <c r="G2" s="44">
        <f>D2*6</f>
        <v>642</v>
      </c>
      <c r="H2" s="44">
        <f t="shared" ref="H2:H26" si="2">CEILING(G2,100)</f>
        <v>700</v>
      </c>
      <c r="I2" s="48">
        <f t="shared" ref="I2:I40" si="3">F2/D2</f>
        <v>3.7383177570093458</v>
      </c>
      <c r="J2" s="48">
        <f t="shared" ref="J2:J40" si="4">H2/D2</f>
        <v>6.5420560747663554</v>
      </c>
      <c r="K2" s="47">
        <f t="shared" ref="K2:K40" si="5">H2-F2</f>
        <v>300</v>
      </c>
      <c r="L2" s="47">
        <f t="shared" ref="L2:L40" si="6">K2/2</f>
        <v>150</v>
      </c>
      <c r="M2" s="47">
        <f t="shared" ref="M2:M40" si="7">L2</f>
        <v>150</v>
      </c>
    </row>
    <row r="3" spans="1:13" ht="18" customHeight="1" x14ac:dyDescent="0.3">
      <c r="A3" s="44">
        <v>2</v>
      </c>
      <c r="B3" s="45" t="s">
        <v>405</v>
      </c>
      <c r="C3" s="45" t="s">
        <v>454</v>
      </c>
      <c r="D3" s="47">
        <v>380</v>
      </c>
      <c r="E3" s="44">
        <f t="shared" si="0"/>
        <v>1140</v>
      </c>
      <c r="F3" s="44">
        <f t="shared" si="1"/>
        <v>1200</v>
      </c>
      <c r="G3" s="44">
        <f>D3*5</f>
        <v>1900</v>
      </c>
      <c r="H3" s="44">
        <f t="shared" si="2"/>
        <v>1900</v>
      </c>
      <c r="I3" s="48">
        <f t="shared" si="3"/>
        <v>3.1578947368421053</v>
      </c>
      <c r="J3" s="48">
        <f t="shared" si="4"/>
        <v>5</v>
      </c>
      <c r="K3" s="47">
        <f t="shared" si="5"/>
        <v>700</v>
      </c>
      <c r="L3" s="47">
        <f t="shared" si="6"/>
        <v>350</v>
      </c>
      <c r="M3" s="47">
        <f t="shared" si="7"/>
        <v>350</v>
      </c>
    </row>
    <row r="4" spans="1:13" ht="18" customHeight="1" x14ac:dyDescent="0.3">
      <c r="A4" s="44">
        <v>3</v>
      </c>
      <c r="B4" s="45" t="s">
        <v>406</v>
      </c>
      <c r="C4" s="45" t="s">
        <v>343</v>
      </c>
      <c r="D4" s="47">
        <v>527</v>
      </c>
      <c r="E4" s="44">
        <f t="shared" si="0"/>
        <v>1581</v>
      </c>
      <c r="F4" s="44">
        <f t="shared" si="1"/>
        <v>1600</v>
      </c>
      <c r="G4" s="44">
        <f>D4*5</f>
        <v>2635</v>
      </c>
      <c r="H4" s="44">
        <f t="shared" si="2"/>
        <v>2700</v>
      </c>
      <c r="I4" s="48">
        <f t="shared" si="3"/>
        <v>3.0360531309297913</v>
      </c>
      <c r="J4" s="48">
        <f t="shared" si="4"/>
        <v>5.1233396584440225</v>
      </c>
      <c r="K4" s="47">
        <f t="shared" si="5"/>
        <v>1100</v>
      </c>
      <c r="L4" s="47">
        <f t="shared" si="6"/>
        <v>550</v>
      </c>
      <c r="M4" s="47">
        <f t="shared" si="7"/>
        <v>550</v>
      </c>
    </row>
    <row r="5" spans="1:13" ht="18" customHeight="1" x14ac:dyDescent="0.3">
      <c r="A5" s="49">
        <v>4</v>
      </c>
      <c r="B5" s="50" t="s">
        <v>344</v>
      </c>
      <c r="C5" s="50" t="s">
        <v>403</v>
      </c>
      <c r="D5" s="51">
        <v>294</v>
      </c>
      <c r="E5" s="49">
        <f t="shared" si="0"/>
        <v>882</v>
      </c>
      <c r="F5" s="49">
        <f t="shared" si="1"/>
        <v>900</v>
      </c>
      <c r="G5" s="49">
        <f>D5*5</f>
        <v>1470</v>
      </c>
      <c r="H5" s="49">
        <f t="shared" si="2"/>
        <v>1500</v>
      </c>
      <c r="I5" s="52">
        <f t="shared" si="3"/>
        <v>3.0612244897959182</v>
      </c>
      <c r="J5" s="52">
        <f t="shared" si="4"/>
        <v>5.1020408163265305</v>
      </c>
      <c r="K5" s="51">
        <f t="shared" si="5"/>
        <v>600</v>
      </c>
      <c r="L5" s="51">
        <f t="shared" si="6"/>
        <v>300</v>
      </c>
      <c r="M5" s="51">
        <f t="shared" si="7"/>
        <v>300</v>
      </c>
    </row>
    <row r="6" spans="1:13" ht="18" customHeight="1" x14ac:dyDescent="0.3">
      <c r="A6" s="49">
        <v>5</v>
      </c>
      <c r="B6" s="50" t="s">
        <v>345</v>
      </c>
      <c r="C6" s="50" t="s">
        <v>407</v>
      </c>
      <c r="D6" s="51">
        <v>1019</v>
      </c>
      <c r="E6" s="49">
        <f t="shared" si="0"/>
        <v>3057</v>
      </c>
      <c r="F6" s="49">
        <f t="shared" si="1"/>
        <v>3100</v>
      </c>
      <c r="G6" s="49">
        <f>D6*4</f>
        <v>4076</v>
      </c>
      <c r="H6" s="49">
        <f t="shared" si="2"/>
        <v>4100</v>
      </c>
      <c r="I6" s="52">
        <f t="shared" si="3"/>
        <v>3.0421982335623161</v>
      </c>
      <c r="J6" s="52">
        <f t="shared" si="4"/>
        <v>4.023552502453386</v>
      </c>
      <c r="K6" s="51">
        <f t="shared" si="5"/>
        <v>1000</v>
      </c>
      <c r="L6" s="51">
        <f t="shared" si="6"/>
        <v>500</v>
      </c>
      <c r="M6" s="51">
        <f t="shared" si="7"/>
        <v>500</v>
      </c>
    </row>
    <row r="7" spans="1:13" ht="18" customHeight="1" x14ac:dyDescent="0.3">
      <c r="A7" s="49">
        <v>6</v>
      </c>
      <c r="B7" s="50" t="s">
        <v>346</v>
      </c>
      <c r="C7" s="50" t="s">
        <v>408</v>
      </c>
      <c r="D7" s="51">
        <v>1191</v>
      </c>
      <c r="E7" s="49">
        <f t="shared" si="0"/>
        <v>3573</v>
      </c>
      <c r="F7" s="49">
        <f t="shared" si="1"/>
        <v>3600</v>
      </c>
      <c r="G7" s="49">
        <f>D7*4</f>
        <v>4764</v>
      </c>
      <c r="H7" s="49">
        <f t="shared" si="2"/>
        <v>4800</v>
      </c>
      <c r="I7" s="52">
        <f t="shared" si="3"/>
        <v>3.0226700251889169</v>
      </c>
      <c r="J7" s="52">
        <f t="shared" si="4"/>
        <v>4.0302267002518892</v>
      </c>
      <c r="K7" s="51">
        <f t="shared" si="5"/>
        <v>1200</v>
      </c>
      <c r="L7" s="51">
        <f t="shared" si="6"/>
        <v>600</v>
      </c>
      <c r="M7" s="51">
        <f t="shared" si="7"/>
        <v>600</v>
      </c>
    </row>
    <row r="8" spans="1:13" ht="18" customHeight="1" x14ac:dyDescent="0.3">
      <c r="A8" s="53">
        <v>7</v>
      </c>
      <c r="B8" s="54" t="s">
        <v>347</v>
      </c>
      <c r="C8" s="54" t="s">
        <v>404</v>
      </c>
      <c r="D8" s="55">
        <v>433</v>
      </c>
      <c r="E8" s="53">
        <f t="shared" si="0"/>
        <v>1299</v>
      </c>
      <c r="F8" s="53">
        <f t="shared" si="1"/>
        <v>1300</v>
      </c>
      <c r="G8" s="53">
        <f>D8*5</f>
        <v>2165</v>
      </c>
      <c r="H8" s="53">
        <f t="shared" si="2"/>
        <v>2200</v>
      </c>
      <c r="I8" s="56">
        <f t="shared" si="3"/>
        <v>3.0023094688221708</v>
      </c>
      <c r="J8" s="56">
        <f t="shared" si="4"/>
        <v>5.0808314087759818</v>
      </c>
      <c r="K8" s="55">
        <f t="shared" si="5"/>
        <v>900</v>
      </c>
      <c r="L8" s="55">
        <f t="shared" si="6"/>
        <v>450</v>
      </c>
      <c r="M8" s="55">
        <f t="shared" si="7"/>
        <v>450</v>
      </c>
    </row>
    <row r="9" spans="1:13" ht="18" customHeight="1" x14ac:dyDescent="0.3">
      <c r="A9" s="53">
        <v>8</v>
      </c>
      <c r="B9" s="54" t="s">
        <v>348</v>
      </c>
      <c r="C9" s="54" t="s">
        <v>409</v>
      </c>
      <c r="D9" s="55">
        <v>1224</v>
      </c>
      <c r="E9" s="53">
        <f t="shared" si="0"/>
        <v>3672</v>
      </c>
      <c r="F9" s="53">
        <f t="shared" si="1"/>
        <v>3700</v>
      </c>
      <c r="G9" s="53">
        <f>D9*4</f>
        <v>4896</v>
      </c>
      <c r="H9" s="53">
        <f t="shared" si="2"/>
        <v>4900</v>
      </c>
      <c r="I9" s="56">
        <f t="shared" si="3"/>
        <v>3.022875816993464</v>
      </c>
      <c r="J9" s="56">
        <f t="shared" si="4"/>
        <v>4.0032679738562091</v>
      </c>
      <c r="K9" s="55">
        <f t="shared" si="5"/>
        <v>1200</v>
      </c>
      <c r="L9" s="55">
        <f t="shared" si="6"/>
        <v>600</v>
      </c>
      <c r="M9" s="55">
        <f t="shared" si="7"/>
        <v>600</v>
      </c>
    </row>
    <row r="10" spans="1:13" ht="18" customHeight="1" x14ac:dyDescent="0.3">
      <c r="A10" s="53">
        <v>9</v>
      </c>
      <c r="B10" s="54" t="s">
        <v>349</v>
      </c>
      <c r="C10" s="54" t="s">
        <v>410</v>
      </c>
      <c r="D10" s="55">
        <v>1397</v>
      </c>
      <c r="E10" s="53">
        <f t="shared" si="0"/>
        <v>4191</v>
      </c>
      <c r="F10" s="53">
        <f t="shared" si="1"/>
        <v>4200</v>
      </c>
      <c r="G10" s="53">
        <f>D10*4</f>
        <v>5588</v>
      </c>
      <c r="H10" s="53">
        <f t="shared" si="2"/>
        <v>5600</v>
      </c>
      <c r="I10" s="56">
        <f t="shared" si="3"/>
        <v>3.0064423765211168</v>
      </c>
      <c r="J10" s="56">
        <f t="shared" si="4"/>
        <v>4.0085898353614891</v>
      </c>
      <c r="K10" s="55">
        <f t="shared" si="5"/>
        <v>1400</v>
      </c>
      <c r="L10" s="55">
        <f t="shared" si="6"/>
        <v>700</v>
      </c>
      <c r="M10" s="55">
        <f t="shared" si="7"/>
        <v>700</v>
      </c>
    </row>
    <row r="11" spans="1:13" ht="18" customHeight="1" x14ac:dyDescent="0.3">
      <c r="A11" s="106">
        <v>10</v>
      </c>
      <c r="B11" s="107" t="s">
        <v>350</v>
      </c>
      <c r="C11" s="107" t="s">
        <v>411</v>
      </c>
      <c r="D11" s="91">
        <v>415</v>
      </c>
      <c r="E11" s="106">
        <f t="shared" si="0"/>
        <v>1245</v>
      </c>
      <c r="F11" s="106">
        <f t="shared" si="1"/>
        <v>1300</v>
      </c>
      <c r="G11" s="106">
        <f>D11*5</f>
        <v>2075</v>
      </c>
      <c r="H11" s="106">
        <f t="shared" si="2"/>
        <v>2100</v>
      </c>
      <c r="I11" s="108">
        <f t="shared" si="3"/>
        <v>3.1325301204819276</v>
      </c>
      <c r="J11" s="108">
        <f t="shared" si="4"/>
        <v>5.0602409638554215</v>
      </c>
      <c r="K11" s="91">
        <f t="shared" si="5"/>
        <v>800</v>
      </c>
      <c r="L11" s="91">
        <f t="shared" si="6"/>
        <v>400</v>
      </c>
      <c r="M11" s="91">
        <f t="shared" si="7"/>
        <v>400</v>
      </c>
    </row>
    <row r="12" spans="1:13" ht="18" customHeight="1" x14ac:dyDescent="0.3">
      <c r="A12" s="106">
        <v>11</v>
      </c>
      <c r="B12" s="107" t="s">
        <v>351</v>
      </c>
      <c r="C12" s="107" t="s">
        <v>412</v>
      </c>
      <c r="D12" s="91">
        <v>1207</v>
      </c>
      <c r="E12" s="106">
        <f t="shared" si="0"/>
        <v>3621</v>
      </c>
      <c r="F12" s="106">
        <f t="shared" si="1"/>
        <v>3700</v>
      </c>
      <c r="G12" s="106">
        <f>D12*4</f>
        <v>4828</v>
      </c>
      <c r="H12" s="106">
        <f t="shared" si="2"/>
        <v>4900</v>
      </c>
      <c r="I12" s="108">
        <f t="shared" si="3"/>
        <v>3.0654515327257665</v>
      </c>
      <c r="J12" s="108">
        <f t="shared" si="4"/>
        <v>4.0596520298260153</v>
      </c>
      <c r="K12" s="91">
        <f t="shared" si="5"/>
        <v>1200</v>
      </c>
      <c r="L12" s="91">
        <f t="shared" si="6"/>
        <v>600</v>
      </c>
      <c r="M12" s="91">
        <f t="shared" si="7"/>
        <v>600</v>
      </c>
    </row>
    <row r="13" spans="1:13" ht="18" customHeight="1" x14ac:dyDescent="0.3">
      <c r="A13" s="106">
        <v>12</v>
      </c>
      <c r="B13" s="107" t="s">
        <v>352</v>
      </c>
      <c r="C13" s="107" t="s">
        <v>413</v>
      </c>
      <c r="D13" s="91">
        <v>1323</v>
      </c>
      <c r="E13" s="106">
        <f t="shared" si="0"/>
        <v>3969</v>
      </c>
      <c r="F13" s="106">
        <f t="shared" si="1"/>
        <v>4000</v>
      </c>
      <c r="G13" s="106">
        <f>D13*4</f>
        <v>5292</v>
      </c>
      <c r="H13" s="106">
        <f t="shared" si="2"/>
        <v>5300</v>
      </c>
      <c r="I13" s="108">
        <f t="shared" si="3"/>
        <v>3.0234315948601664</v>
      </c>
      <c r="J13" s="108">
        <f t="shared" si="4"/>
        <v>4.0060468631897201</v>
      </c>
      <c r="K13" s="91">
        <f t="shared" si="5"/>
        <v>1300</v>
      </c>
      <c r="L13" s="91">
        <f t="shared" si="6"/>
        <v>650</v>
      </c>
      <c r="M13" s="91">
        <f t="shared" si="7"/>
        <v>650</v>
      </c>
    </row>
    <row r="14" spans="1:13" ht="18" customHeight="1" x14ac:dyDescent="0.3">
      <c r="A14" s="57">
        <v>13</v>
      </c>
      <c r="B14" s="58" t="s">
        <v>353</v>
      </c>
      <c r="C14" s="58" t="s">
        <v>433</v>
      </c>
      <c r="D14" s="59">
        <v>436</v>
      </c>
      <c r="E14" s="57">
        <f t="shared" si="0"/>
        <v>1308</v>
      </c>
      <c r="F14" s="57">
        <f t="shared" si="1"/>
        <v>1400</v>
      </c>
      <c r="G14" s="57">
        <f>D14*5</f>
        <v>2180</v>
      </c>
      <c r="H14" s="57">
        <f t="shared" si="2"/>
        <v>2200</v>
      </c>
      <c r="I14" s="60">
        <f t="shared" si="3"/>
        <v>3.2110091743119265</v>
      </c>
      <c r="J14" s="60">
        <f t="shared" si="4"/>
        <v>5.0458715596330279</v>
      </c>
      <c r="K14" s="59">
        <f t="shared" si="5"/>
        <v>800</v>
      </c>
      <c r="L14" s="59">
        <f t="shared" si="6"/>
        <v>400</v>
      </c>
      <c r="M14" s="59">
        <f t="shared" si="7"/>
        <v>400</v>
      </c>
    </row>
    <row r="15" spans="1:13" ht="18" customHeight="1" x14ac:dyDescent="0.3">
      <c r="A15" s="57">
        <v>14</v>
      </c>
      <c r="B15" s="58" t="s">
        <v>354</v>
      </c>
      <c r="C15" s="58" t="s">
        <v>434</v>
      </c>
      <c r="D15" s="59">
        <v>1158</v>
      </c>
      <c r="E15" s="57">
        <f t="shared" si="0"/>
        <v>3474</v>
      </c>
      <c r="F15" s="57">
        <f t="shared" si="1"/>
        <v>3500</v>
      </c>
      <c r="G15" s="57">
        <f>D15*4</f>
        <v>4632</v>
      </c>
      <c r="H15" s="57">
        <f t="shared" si="2"/>
        <v>4700</v>
      </c>
      <c r="I15" s="60">
        <f t="shared" si="3"/>
        <v>3.0224525043177892</v>
      </c>
      <c r="J15" s="60">
        <f t="shared" si="4"/>
        <v>4.0587219343696024</v>
      </c>
      <c r="K15" s="59">
        <f t="shared" si="5"/>
        <v>1200</v>
      </c>
      <c r="L15" s="59">
        <f t="shared" si="6"/>
        <v>600</v>
      </c>
      <c r="M15" s="59">
        <f t="shared" si="7"/>
        <v>600</v>
      </c>
    </row>
    <row r="16" spans="1:13" ht="18" customHeight="1" x14ac:dyDescent="0.3">
      <c r="A16" s="57">
        <v>15</v>
      </c>
      <c r="B16" s="58" t="s">
        <v>355</v>
      </c>
      <c r="C16" s="58" t="s">
        <v>435</v>
      </c>
      <c r="D16" s="59">
        <v>1319</v>
      </c>
      <c r="E16" s="57">
        <f t="shared" si="0"/>
        <v>3957</v>
      </c>
      <c r="F16" s="57">
        <f t="shared" si="1"/>
        <v>4000</v>
      </c>
      <c r="G16" s="57">
        <f>D16*4</f>
        <v>5276</v>
      </c>
      <c r="H16" s="57">
        <f t="shared" si="2"/>
        <v>5300</v>
      </c>
      <c r="I16" s="60">
        <f t="shared" si="3"/>
        <v>3.0326004548900682</v>
      </c>
      <c r="J16" s="60">
        <f t="shared" si="4"/>
        <v>4.0181956027293406</v>
      </c>
      <c r="K16" s="59">
        <f t="shared" si="5"/>
        <v>1300</v>
      </c>
      <c r="L16" s="59">
        <f t="shared" si="6"/>
        <v>650</v>
      </c>
      <c r="M16" s="59">
        <f t="shared" si="7"/>
        <v>650</v>
      </c>
    </row>
    <row r="17" spans="1:13" ht="18" customHeight="1" x14ac:dyDescent="0.3">
      <c r="A17" s="61">
        <v>16</v>
      </c>
      <c r="B17" s="62" t="s">
        <v>356</v>
      </c>
      <c r="C17" s="62" t="s">
        <v>414</v>
      </c>
      <c r="D17" s="63">
        <v>327</v>
      </c>
      <c r="E17" s="61">
        <f t="shared" si="0"/>
        <v>981</v>
      </c>
      <c r="F17" s="61">
        <f t="shared" si="1"/>
        <v>1000</v>
      </c>
      <c r="G17" s="61">
        <f>D17*5</f>
        <v>1635</v>
      </c>
      <c r="H17" s="61">
        <f t="shared" si="2"/>
        <v>1700</v>
      </c>
      <c r="I17" s="64">
        <f t="shared" si="3"/>
        <v>3.0581039755351682</v>
      </c>
      <c r="J17" s="64">
        <f t="shared" si="4"/>
        <v>5.1987767584097861</v>
      </c>
      <c r="K17" s="63">
        <f t="shared" si="5"/>
        <v>700</v>
      </c>
      <c r="L17" s="63">
        <f t="shared" si="6"/>
        <v>350</v>
      </c>
      <c r="M17" s="63">
        <f t="shared" si="7"/>
        <v>350</v>
      </c>
    </row>
    <row r="18" spans="1:13" ht="18" customHeight="1" x14ac:dyDescent="0.3">
      <c r="A18" s="61">
        <v>17</v>
      </c>
      <c r="B18" s="62" t="s">
        <v>357</v>
      </c>
      <c r="C18" s="62" t="s">
        <v>407</v>
      </c>
      <c r="D18" s="63">
        <v>1019</v>
      </c>
      <c r="E18" s="61">
        <f t="shared" si="0"/>
        <v>3057</v>
      </c>
      <c r="F18" s="61">
        <f t="shared" si="1"/>
        <v>3100</v>
      </c>
      <c r="G18" s="61">
        <f>D18*4</f>
        <v>4076</v>
      </c>
      <c r="H18" s="61">
        <f t="shared" si="2"/>
        <v>4100</v>
      </c>
      <c r="I18" s="64">
        <f t="shared" si="3"/>
        <v>3.0421982335623161</v>
      </c>
      <c r="J18" s="64">
        <f t="shared" si="4"/>
        <v>4.023552502453386</v>
      </c>
      <c r="K18" s="63">
        <f t="shared" si="5"/>
        <v>1000</v>
      </c>
      <c r="L18" s="63">
        <f t="shared" si="6"/>
        <v>500</v>
      </c>
      <c r="M18" s="63">
        <f t="shared" si="7"/>
        <v>500</v>
      </c>
    </row>
    <row r="19" spans="1:13" ht="18" customHeight="1" x14ac:dyDescent="0.3">
      <c r="A19" s="61">
        <v>18</v>
      </c>
      <c r="B19" s="62" t="s">
        <v>358</v>
      </c>
      <c r="C19" s="62" t="s">
        <v>408</v>
      </c>
      <c r="D19" s="63">
        <v>1180</v>
      </c>
      <c r="E19" s="61">
        <f t="shared" si="0"/>
        <v>3540</v>
      </c>
      <c r="F19" s="61">
        <f t="shared" si="1"/>
        <v>3600</v>
      </c>
      <c r="G19" s="61">
        <f>D19*4</f>
        <v>4720</v>
      </c>
      <c r="H19" s="61">
        <f t="shared" si="2"/>
        <v>4800</v>
      </c>
      <c r="I19" s="64">
        <f t="shared" si="3"/>
        <v>3.0508474576271185</v>
      </c>
      <c r="J19" s="64">
        <f t="shared" si="4"/>
        <v>4.0677966101694913</v>
      </c>
      <c r="K19" s="63">
        <f t="shared" si="5"/>
        <v>1200</v>
      </c>
      <c r="L19" s="63">
        <f t="shared" si="6"/>
        <v>600</v>
      </c>
      <c r="M19" s="63">
        <f t="shared" si="7"/>
        <v>600</v>
      </c>
    </row>
    <row r="20" spans="1:13" ht="18" customHeight="1" x14ac:dyDescent="0.3">
      <c r="A20" s="65">
        <v>19</v>
      </c>
      <c r="B20" s="66" t="s">
        <v>359</v>
      </c>
      <c r="C20" s="67" t="s">
        <v>415</v>
      </c>
      <c r="D20" s="68">
        <v>306</v>
      </c>
      <c r="E20" s="65">
        <f t="shared" si="0"/>
        <v>918</v>
      </c>
      <c r="F20" s="65">
        <f t="shared" si="1"/>
        <v>1000</v>
      </c>
      <c r="G20" s="65">
        <f>D20*5</f>
        <v>1530</v>
      </c>
      <c r="H20" s="65">
        <f t="shared" si="2"/>
        <v>1600</v>
      </c>
      <c r="I20" s="69">
        <f t="shared" si="3"/>
        <v>3.2679738562091503</v>
      </c>
      <c r="J20" s="69">
        <f t="shared" si="4"/>
        <v>5.2287581699346406</v>
      </c>
      <c r="K20" s="68">
        <f t="shared" si="5"/>
        <v>600</v>
      </c>
      <c r="L20" s="68">
        <f t="shared" si="6"/>
        <v>300</v>
      </c>
      <c r="M20" s="68">
        <f t="shared" si="7"/>
        <v>300</v>
      </c>
    </row>
    <row r="21" spans="1:13" ht="18" customHeight="1" x14ac:dyDescent="0.3">
      <c r="A21" s="65">
        <v>20</v>
      </c>
      <c r="B21" s="66" t="s">
        <v>360</v>
      </c>
      <c r="C21" s="66" t="s">
        <v>416</v>
      </c>
      <c r="D21" s="68">
        <v>1064</v>
      </c>
      <c r="E21" s="65">
        <f t="shared" si="0"/>
        <v>3192</v>
      </c>
      <c r="F21" s="65">
        <f t="shared" si="1"/>
        <v>3200</v>
      </c>
      <c r="G21" s="65">
        <f t="shared" ref="G21:G28" si="8">D21*4</f>
        <v>4256</v>
      </c>
      <c r="H21" s="65">
        <f t="shared" si="2"/>
        <v>4300</v>
      </c>
      <c r="I21" s="69">
        <f t="shared" si="3"/>
        <v>3.007518796992481</v>
      </c>
      <c r="J21" s="69">
        <f t="shared" si="4"/>
        <v>4.041353383458647</v>
      </c>
      <c r="K21" s="68">
        <f t="shared" si="5"/>
        <v>1100</v>
      </c>
      <c r="L21" s="68">
        <f t="shared" si="6"/>
        <v>550</v>
      </c>
      <c r="M21" s="68">
        <f t="shared" si="7"/>
        <v>550</v>
      </c>
    </row>
    <row r="22" spans="1:13" ht="18" customHeight="1" x14ac:dyDescent="0.3">
      <c r="A22" s="65">
        <v>21</v>
      </c>
      <c r="B22" s="66" t="s">
        <v>361</v>
      </c>
      <c r="C22" s="66" t="s">
        <v>417</v>
      </c>
      <c r="D22" s="68">
        <v>1225</v>
      </c>
      <c r="E22" s="65">
        <f t="shared" si="0"/>
        <v>3675</v>
      </c>
      <c r="F22" s="65">
        <f t="shared" si="1"/>
        <v>3700</v>
      </c>
      <c r="G22" s="65">
        <f t="shared" si="8"/>
        <v>4900</v>
      </c>
      <c r="H22" s="65">
        <f t="shared" si="2"/>
        <v>4900</v>
      </c>
      <c r="I22" s="69">
        <f t="shared" si="3"/>
        <v>3.0204081632653059</v>
      </c>
      <c r="J22" s="69">
        <f t="shared" si="4"/>
        <v>4</v>
      </c>
      <c r="K22" s="68">
        <f t="shared" si="5"/>
        <v>1200</v>
      </c>
      <c r="L22" s="68">
        <f t="shared" si="6"/>
        <v>600</v>
      </c>
      <c r="M22" s="68">
        <f t="shared" si="7"/>
        <v>600</v>
      </c>
    </row>
    <row r="23" spans="1:13" ht="18" customHeight="1" x14ac:dyDescent="0.3">
      <c r="A23" s="70">
        <v>22</v>
      </c>
      <c r="B23" s="71" t="s">
        <v>362</v>
      </c>
      <c r="C23" s="71" t="s">
        <v>418</v>
      </c>
      <c r="D23" s="72">
        <v>614</v>
      </c>
      <c r="E23" s="70">
        <f t="shared" si="0"/>
        <v>1842</v>
      </c>
      <c r="F23" s="70">
        <f t="shared" si="1"/>
        <v>1900</v>
      </c>
      <c r="G23" s="70">
        <f t="shared" si="8"/>
        <v>2456</v>
      </c>
      <c r="H23" s="70">
        <f t="shared" si="2"/>
        <v>2500</v>
      </c>
      <c r="I23" s="73">
        <f t="shared" si="3"/>
        <v>3.0944625407166124</v>
      </c>
      <c r="J23" s="73">
        <f t="shared" si="4"/>
        <v>4.0716612377850163</v>
      </c>
      <c r="K23" s="72">
        <f t="shared" si="5"/>
        <v>600</v>
      </c>
      <c r="L23" s="72">
        <f t="shared" si="6"/>
        <v>300</v>
      </c>
      <c r="M23" s="72">
        <f t="shared" si="7"/>
        <v>300</v>
      </c>
    </row>
    <row r="24" spans="1:13" ht="18" customHeight="1" x14ac:dyDescent="0.3">
      <c r="A24" s="70">
        <v>23</v>
      </c>
      <c r="B24" s="71" t="s">
        <v>363</v>
      </c>
      <c r="C24" s="71" t="s">
        <v>419</v>
      </c>
      <c r="D24" s="72">
        <v>1488</v>
      </c>
      <c r="E24" s="70">
        <f t="shared" si="0"/>
        <v>4464</v>
      </c>
      <c r="F24" s="70">
        <f t="shared" si="1"/>
        <v>4500</v>
      </c>
      <c r="G24" s="70">
        <f t="shared" si="8"/>
        <v>5952</v>
      </c>
      <c r="H24" s="70">
        <f t="shared" si="2"/>
        <v>6000</v>
      </c>
      <c r="I24" s="73">
        <f t="shared" si="3"/>
        <v>3.024193548387097</v>
      </c>
      <c r="J24" s="73">
        <f t="shared" si="4"/>
        <v>4.032258064516129</v>
      </c>
      <c r="K24" s="72">
        <f t="shared" si="5"/>
        <v>1500</v>
      </c>
      <c r="L24" s="72">
        <f t="shared" si="6"/>
        <v>750</v>
      </c>
      <c r="M24" s="72">
        <f t="shared" si="7"/>
        <v>750</v>
      </c>
    </row>
    <row r="25" spans="1:13" ht="18" customHeight="1" x14ac:dyDescent="0.3">
      <c r="A25" s="70">
        <v>24</v>
      </c>
      <c r="B25" s="71" t="s">
        <v>364</v>
      </c>
      <c r="C25" s="71" t="s">
        <v>420</v>
      </c>
      <c r="D25" s="72">
        <v>1649</v>
      </c>
      <c r="E25" s="70">
        <f t="shared" si="0"/>
        <v>4947</v>
      </c>
      <c r="F25" s="70">
        <f t="shared" si="1"/>
        <v>5000</v>
      </c>
      <c r="G25" s="70">
        <f t="shared" si="8"/>
        <v>6596</v>
      </c>
      <c r="H25" s="70">
        <f t="shared" si="2"/>
        <v>6600</v>
      </c>
      <c r="I25" s="73">
        <f t="shared" si="3"/>
        <v>3.0321406913280775</v>
      </c>
      <c r="J25" s="73">
        <f t="shared" si="4"/>
        <v>4.0024257125530625</v>
      </c>
      <c r="K25" s="72">
        <f t="shared" si="5"/>
        <v>1600</v>
      </c>
      <c r="L25" s="72">
        <f t="shared" si="6"/>
        <v>800</v>
      </c>
      <c r="M25" s="72">
        <f t="shared" si="7"/>
        <v>800</v>
      </c>
    </row>
    <row r="26" spans="1:13" ht="18" customHeight="1" x14ac:dyDescent="0.3">
      <c r="A26" s="74">
        <v>25</v>
      </c>
      <c r="B26" s="75" t="s">
        <v>365</v>
      </c>
      <c r="C26" s="75" t="s">
        <v>421</v>
      </c>
      <c r="D26" s="76">
        <v>1192</v>
      </c>
      <c r="E26" s="74">
        <f t="shared" si="0"/>
        <v>3576</v>
      </c>
      <c r="F26" s="74">
        <f t="shared" si="1"/>
        <v>3600</v>
      </c>
      <c r="G26" s="74">
        <f t="shared" si="8"/>
        <v>4768</v>
      </c>
      <c r="H26" s="74">
        <f t="shared" si="2"/>
        <v>4800</v>
      </c>
      <c r="I26" s="77">
        <f t="shared" si="3"/>
        <v>3.0201342281879193</v>
      </c>
      <c r="J26" s="77">
        <f t="shared" si="4"/>
        <v>4.026845637583893</v>
      </c>
      <c r="K26" s="76">
        <f t="shared" si="5"/>
        <v>1200</v>
      </c>
      <c r="L26" s="76">
        <f t="shared" si="6"/>
        <v>600</v>
      </c>
      <c r="M26" s="76">
        <f t="shared" si="7"/>
        <v>600</v>
      </c>
    </row>
    <row r="27" spans="1:13" ht="18" customHeight="1" x14ac:dyDescent="0.3">
      <c r="A27" s="74">
        <v>26</v>
      </c>
      <c r="B27" s="75" t="s">
        <v>366</v>
      </c>
      <c r="C27" s="75" t="s">
        <v>422</v>
      </c>
      <c r="D27" s="76">
        <v>1916</v>
      </c>
      <c r="E27" s="74">
        <f t="shared" si="0"/>
        <v>5748</v>
      </c>
      <c r="F27" s="74">
        <f t="shared" si="1"/>
        <v>5800</v>
      </c>
      <c r="G27" s="74">
        <f t="shared" si="8"/>
        <v>7664</v>
      </c>
      <c r="H27" s="74">
        <v>8000</v>
      </c>
      <c r="I27" s="77">
        <f t="shared" si="3"/>
        <v>3.0271398747390394</v>
      </c>
      <c r="J27" s="77">
        <f t="shared" si="4"/>
        <v>4.1753653444676413</v>
      </c>
      <c r="K27" s="76">
        <f t="shared" si="5"/>
        <v>2200</v>
      </c>
      <c r="L27" s="76">
        <f t="shared" si="6"/>
        <v>1100</v>
      </c>
      <c r="M27" s="76">
        <f t="shared" si="7"/>
        <v>1100</v>
      </c>
    </row>
    <row r="28" spans="1:13" ht="18" customHeight="1" x14ac:dyDescent="0.3">
      <c r="A28" s="74">
        <v>27</v>
      </c>
      <c r="B28" s="75" t="s">
        <v>367</v>
      </c>
      <c r="C28" s="75" t="s">
        <v>423</v>
      </c>
      <c r="D28" s="76">
        <v>2077</v>
      </c>
      <c r="E28" s="74">
        <f t="shared" si="0"/>
        <v>6231</v>
      </c>
      <c r="F28" s="74">
        <f t="shared" si="1"/>
        <v>6300</v>
      </c>
      <c r="G28" s="74">
        <f t="shared" si="8"/>
        <v>8308</v>
      </c>
      <c r="H28" s="74">
        <v>9000</v>
      </c>
      <c r="I28" s="77">
        <f t="shared" si="3"/>
        <v>3.0332209918151181</v>
      </c>
      <c r="J28" s="77">
        <f t="shared" si="4"/>
        <v>4.3331728454501688</v>
      </c>
      <c r="K28" s="76">
        <f t="shared" si="5"/>
        <v>2700</v>
      </c>
      <c r="L28" s="76">
        <f t="shared" si="6"/>
        <v>1350</v>
      </c>
      <c r="M28" s="76">
        <f t="shared" si="7"/>
        <v>1350</v>
      </c>
    </row>
    <row r="29" spans="1:13" ht="18" customHeight="1" x14ac:dyDescent="0.3">
      <c r="A29" s="79">
        <v>28</v>
      </c>
      <c r="B29" s="78" t="s">
        <v>424</v>
      </c>
      <c r="C29" s="78" t="s">
        <v>436</v>
      </c>
      <c r="D29" s="79">
        <v>567</v>
      </c>
      <c r="E29" s="80">
        <f t="shared" ref="E29:E40" si="9">D29*3</f>
        <v>1701</v>
      </c>
      <c r="F29" s="80">
        <f>CEILING(E29,100)</f>
        <v>1800</v>
      </c>
      <c r="G29" s="80">
        <f t="shared" ref="G29:G40" si="10">D29*4</f>
        <v>2268</v>
      </c>
      <c r="H29" s="80">
        <f t="shared" ref="H29:H36" si="11">CEILING(G29,100)</f>
        <v>2300</v>
      </c>
      <c r="I29" s="81">
        <f t="shared" si="3"/>
        <v>3.1746031746031744</v>
      </c>
      <c r="J29" s="81">
        <f t="shared" si="4"/>
        <v>4.0564373897707231</v>
      </c>
      <c r="K29" s="79">
        <f t="shared" si="5"/>
        <v>500</v>
      </c>
      <c r="L29" s="79">
        <f t="shared" si="6"/>
        <v>250</v>
      </c>
      <c r="M29" s="79">
        <f t="shared" si="7"/>
        <v>250</v>
      </c>
    </row>
    <row r="30" spans="1:13" ht="18" customHeight="1" x14ac:dyDescent="0.3">
      <c r="A30" s="79">
        <v>29</v>
      </c>
      <c r="B30" s="78" t="s">
        <v>425</v>
      </c>
      <c r="C30" s="78" t="s">
        <v>437</v>
      </c>
      <c r="D30" s="79">
        <v>1292</v>
      </c>
      <c r="E30" s="80">
        <f t="shared" si="9"/>
        <v>3876</v>
      </c>
      <c r="F30" s="80">
        <f t="shared" ref="F30:F31" si="12">CEILING(E30,100)</f>
        <v>3900</v>
      </c>
      <c r="G30" s="80">
        <f t="shared" si="10"/>
        <v>5168</v>
      </c>
      <c r="H30" s="80">
        <f t="shared" si="11"/>
        <v>5200</v>
      </c>
      <c r="I30" s="81">
        <f t="shared" si="3"/>
        <v>3.0185758513931891</v>
      </c>
      <c r="J30" s="81">
        <f t="shared" si="4"/>
        <v>4.0247678018575854</v>
      </c>
      <c r="K30" s="79">
        <f t="shared" si="5"/>
        <v>1300</v>
      </c>
      <c r="L30" s="79">
        <f t="shared" si="6"/>
        <v>650</v>
      </c>
      <c r="M30" s="79">
        <f t="shared" si="7"/>
        <v>650</v>
      </c>
    </row>
    <row r="31" spans="1:13" ht="18" customHeight="1" x14ac:dyDescent="0.3">
      <c r="A31" s="79">
        <v>30</v>
      </c>
      <c r="B31" s="78" t="s">
        <v>426</v>
      </c>
      <c r="C31" s="78" t="s">
        <v>438</v>
      </c>
      <c r="D31" s="79">
        <v>1453</v>
      </c>
      <c r="E31" s="80">
        <f t="shared" si="9"/>
        <v>4359</v>
      </c>
      <c r="F31" s="80">
        <f t="shared" si="12"/>
        <v>4400</v>
      </c>
      <c r="G31" s="80">
        <f t="shared" si="10"/>
        <v>5812</v>
      </c>
      <c r="H31" s="80">
        <f t="shared" si="11"/>
        <v>5900</v>
      </c>
      <c r="I31" s="81">
        <f t="shared" si="3"/>
        <v>3.0282174810736406</v>
      </c>
      <c r="J31" s="81">
        <f t="shared" si="4"/>
        <v>4.0605643496214725</v>
      </c>
      <c r="K31" s="79">
        <f t="shared" si="5"/>
        <v>1500</v>
      </c>
      <c r="L31" s="79">
        <f t="shared" si="6"/>
        <v>750</v>
      </c>
      <c r="M31" s="79">
        <f t="shared" si="7"/>
        <v>750</v>
      </c>
    </row>
    <row r="32" spans="1:13" ht="18" customHeight="1" x14ac:dyDescent="0.3">
      <c r="A32" s="55">
        <v>31</v>
      </c>
      <c r="B32" s="54" t="s">
        <v>427</v>
      </c>
      <c r="C32" s="54" t="s">
        <v>439</v>
      </c>
      <c r="D32" s="55">
        <v>531</v>
      </c>
      <c r="E32" s="53">
        <f t="shared" si="9"/>
        <v>1593</v>
      </c>
      <c r="F32" s="53">
        <f>CEILING(E32,100)</f>
        <v>1600</v>
      </c>
      <c r="G32" s="53">
        <f t="shared" si="10"/>
        <v>2124</v>
      </c>
      <c r="H32" s="53">
        <f t="shared" si="11"/>
        <v>2200</v>
      </c>
      <c r="I32" s="56">
        <f t="shared" si="3"/>
        <v>3.0131826741996233</v>
      </c>
      <c r="J32" s="56">
        <f t="shared" si="4"/>
        <v>4.1431261770244818</v>
      </c>
      <c r="K32" s="55">
        <f t="shared" si="5"/>
        <v>600</v>
      </c>
      <c r="L32" s="55">
        <f t="shared" si="6"/>
        <v>300</v>
      </c>
      <c r="M32" s="55">
        <f t="shared" si="7"/>
        <v>300</v>
      </c>
    </row>
    <row r="33" spans="1:13" ht="18" customHeight="1" x14ac:dyDescent="0.3">
      <c r="A33" s="55">
        <v>32</v>
      </c>
      <c r="B33" s="54" t="s">
        <v>428</v>
      </c>
      <c r="C33" s="54" t="s">
        <v>440</v>
      </c>
      <c r="D33" s="55">
        <v>1255</v>
      </c>
      <c r="E33" s="53">
        <f t="shared" si="9"/>
        <v>3765</v>
      </c>
      <c r="F33" s="53">
        <f t="shared" ref="F33:F34" si="13">CEILING(E33,100)</f>
        <v>3800</v>
      </c>
      <c r="G33" s="53">
        <f t="shared" si="10"/>
        <v>5020</v>
      </c>
      <c r="H33" s="53">
        <f t="shared" si="11"/>
        <v>5100</v>
      </c>
      <c r="I33" s="56">
        <f t="shared" si="3"/>
        <v>3.0278884462151394</v>
      </c>
      <c r="J33" s="56">
        <f t="shared" si="4"/>
        <v>4.0637450199203187</v>
      </c>
      <c r="K33" s="55">
        <f t="shared" si="5"/>
        <v>1300</v>
      </c>
      <c r="L33" s="55">
        <f t="shared" si="6"/>
        <v>650</v>
      </c>
      <c r="M33" s="55">
        <f t="shared" si="7"/>
        <v>650</v>
      </c>
    </row>
    <row r="34" spans="1:13" ht="18" customHeight="1" x14ac:dyDescent="0.3">
      <c r="A34" s="55">
        <v>33</v>
      </c>
      <c r="B34" s="54" t="s">
        <v>429</v>
      </c>
      <c r="C34" s="54" t="s">
        <v>441</v>
      </c>
      <c r="D34" s="55">
        <v>1416</v>
      </c>
      <c r="E34" s="53">
        <f t="shared" si="9"/>
        <v>4248</v>
      </c>
      <c r="F34" s="53">
        <f t="shared" si="13"/>
        <v>4300</v>
      </c>
      <c r="G34" s="53">
        <f t="shared" si="10"/>
        <v>5664</v>
      </c>
      <c r="H34" s="53">
        <f t="shared" si="11"/>
        <v>5700</v>
      </c>
      <c r="I34" s="56">
        <f t="shared" si="3"/>
        <v>3.036723163841808</v>
      </c>
      <c r="J34" s="56">
        <f t="shared" si="4"/>
        <v>4.0254237288135597</v>
      </c>
      <c r="K34" s="55">
        <f t="shared" si="5"/>
        <v>1400</v>
      </c>
      <c r="L34" s="55">
        <f t="shared" si="6"/>
        <v>700</v>
      </c>
      <c r="M34" s="55">
        <f t="shared" si="7"/>
        <v>700</v>
      </c>
    </row>
    <row r="35" spans="1:13" ht="18" customHeight="1" x14ac:dyDescent="0.3">
      <c r="A35" s="63">
        <v>34</v>
      </c>
      <c r="B35" s="62" t="s">
        <v>430</v>
      </c>
      <c r="C35" s="62" t="s">
        <v>442</v>
      </c>
      <c r="D35" s="63">
        <v>850</v>
      </c>
      <c r="E35" s="61">
        <f t="shared" si="9"/>
        <v>2550</v>
      </c>
      <c r="F35" s="61">
        <f>CEILING(E35,100)</f>
        <v>2600</v>
      </c>
      <c r="G35" s="61">
        <f t="shared" si="10"/>
        <v>3400</v>
      </c>
      <c r="H35" s="61">
        <f t="shared" si="11"/>
        <v>3400</v>
      </c>
      <c r="I35" s="64">
        <f t="shared" si="3"/>
        <v>3.0588235294117645</v>
      </c>
      <c r="J35" s="64">
        <f t="shared" si="4"/>
        <v>4</v>
      </c>
      <c r="K35" s="63">
        <f t="shared" si="5"/>
        <v>800</v>
      </c>
      <c r="L35" s="63">
        <f t="shared" si="6"/>
        <v>400</v>
      </c>
      <c r="M35" s="63">
        <f t="shared" si="7"/>
        <v>400</v>
      </c>
    </row>
    <row r="36" spans="1:13" ht="18" customHeight="1" x14ac:dyDescent="0.3">
      <c r="A36" s="63">
        <v>35</v>
      </c>
      <c r="B36" s="62" t="s">
        <v>431</v>
      </c>
      <c r="C36" s="62" t="s">
        <v>443</v>
      </c>
      <c r="D36" s="63">
        <v>1573</v>
      </c>
      <c r="E36" s="61">
        <f t="shared" si="9"/>
        <v>4719</v>
      </c>
      <c r="F36" s="61">
        <f t="shared" ref="F36:F37" si="14">CEILING(E36,100)</f>
        <v>4800</v>
      </c>
      <c r="G36" s="61">
        <f t="shared" si="10"/>
        <v>6292</v>
      </c>
      <c r="H36" s="61">
        <f t="shared" si="11"/>
        <v>6300</v>
      </c>
      <c r="I36" s="64">
        <f t="shared" si="3"/>
        <v>3.0514939605848697</v>
      </c>
      <c r="J36" s="64">
        <f t="shared" si="4"/>
        <v>4.0050858232676418</v>
      </c>
      <c r="K36" s="63">
        <f t="shared" si="5"/>
        <v>1500</v>
      </c>
      <c r="L36" s="63">
        <f t="shared" si="6"/>
        <v>750</v>
      </c>
      <c r="M36" s="63">
        <f t="shared" si="7"/>
        <v>750</v>
      </c>
    </row>
    <row r="37" spans="1:13" ht="18" customHeight="1" x14ac:dyDescent="0.3">
      <c r="A37" s="63">
        <v>36</v>
      </c>
      <c r="B37" s="62" t="s">
        <v>432</v>
      </c>
      <c r="C37" s="62" t="s">
        <v>444</v>
      </c>
      <c r="D37" s="63">
        <v>1734</v>
      </c>
      <c r="E37" s="61">
        <f t="shared" si="9"/>
        <v>5202</v>
      </c>
      <c r="F37" s="61">
        <f t="shared" si="14"/>
        <v>5300</v>
      </c>
      <c r="G37" s="61">
        <f t="shared" si="10"/>
        <v>6936</v>
      </c>
      <c r="H37" s="61">
        <v>7000</v>
      </c>
      <c r="I37" s="64">
        <f t="shared" si="3"/>
        <v>3.0565167243367934</v>
      </c>
      <c r="J37" s="64">
        <f t="shared" si="4"/>
        <v>4.0369088811995386</v>
      </c>
      <c r="K37" s="63">
        <f t="shared" si="5"/>
        <v>1700</v>
      </c>
      <c r="L37" s="63">
        <f t="shared" si="6"/>
        <v>850</v>
      </c>
      <c r="M37" s="63">
        <f t="shared" si="7"/>
        <v>850</v>
      </c>
    </row>
    <row r="38" spans="1:13" ht="18" customHeight="1" x14ac:dyDescent="0.3">
      <c r="A38" s="104">
        <v>37</v>
      </c>
      <c r="B38" s="103" t="s">
        <v>445</v>
      </c>
      <c r="C38" s="103" t="s">
        <v>448</v>
      </c>
      <c r="D38" s="104">
        <v>350</v>
      </c>
      <c r="E38" s="104">
        <f t="shared" si="9"/>
        <v>1050</v>
      </c>
      <c r="F38" s="104">
        <f>CEILING(E38,100)</f>
        <v>1100</v>
      </c>
      <c r="G38" s="104">
        <f>D38*5</f>
        <v>1750</v>
      </c>
      <c r="H38" s="104">
        <v>1800</v>
      </c>
      <c r="I38" s="105">
        <f t="shared" si="3"/>
        <v>3.1428571428571428</v>
      </c>
      <c r="J38" s="105">
        <f t="shared" si="4"/>
        <v>5.1428571428571432</v>
      </c>
      <c r="K38" s="104">
        <f t="shared" si="5"/>
        <v>700</v>
      </c>
      <c r="L38" s="104">
        <f t="shared" si="6"/>
        <v>350</v>
      </c>
      <c r="M38" s="104">
        <f t="shared" si="7"/>
        <v>350</v>
      </c>
    </row>
    <row r="39" spans="1:13" ht="18" customHeight="1" x14ac:dyDescent="0.3">
      <c r="A39" s="104">
        <v>38</v>
      </c>
      <c r="B39" s="103" t="s">
        <v>446</v>
      </c>
      <c r="C39" s="103" t="s">
        <v>449</v>
      </c>
      <c r="D39" s="104">
        <v>1224</v>
      </c>
      <c r="E39" s="104">
        <f t="shared" si="9"/>
        <v>3672</v>
      </c>
      <c r="F39" s="104">
        <f t="shared" ref="F39:F40" si="15">CEILING(E39,100)</f>
        <v>3700</v>
      </c>
      <c r="G39" s="104">
        <f>D39*4</f>
        <v>4896</v>
      </c>
      <c r="H39" s="104">
        <v>5000</v>
      </c>
      <c r="I39" s="105">
        <f t="shared" si="3"/>
        <v>3.022875816993464</v>
      </c>
      <c r="J39" s="105">
        <f t="shared" si="4"/>
        <v>4.0849673202614376</v>
      </c>
      <c r="K39" s="104">
        <f t="shared" si="5"/>
        <v>1300</v>
      </c>
      <c r="L39" s="104">
        <f t="shared" si="6"/>
        <v>650</v>
      </c>
      <c r="M39" s="104">
        <f t="shared" si="7"/>
        <v>650</v>
      </c>
    </row>
    <row r="40" spans="1:13" ht="18" customHeight="1" x14ac:dyDescent="0.3">
      <c r="A40" s="104">
        <v>39</v>
      </c>
      <c r="B40" s="103" t="s">
        <v>447</v>
      </c>
      <c r="C40" s="103" t="s">
        <v>450</v>
      </c>
      <c r="D40" s="104">
        <v>1507</v>
      </c>
      <c r="E40" s="104">
        <f t="shared" si="9"/>
        <v>4521</v>
      </c>
      <c r="F40" s="104">
        <f t="shared" si="15"/>
        <v>4600</v>
      </c>
      <c r="G40" s="104">
        <f t="shared" si="10"/>
        <v>6028</v>
      </c>
      <c r="H40" s="104">
        <v>6000</v>
      </c>
      <c r="I40" s="105">
        <f t="shared" si="3"/>
        <v>3.0524220305242205</v>
      </c>
      <c r="J40" s="105">
        <f t="shared" si="4"/>
        <v>3.9814200398142003</v>
      </c>
      <c r="K40" s="104">
        <f t="shared" si="5"/>
        <v>1400</v>
      </c>
      <c r="L40" s="104">
        <f t="shared" si="6"/>
        <v>700</v>
      </c>
      <c r="M40" s="104">
        <f t="shared" si="7"/>
        <v>700</v>
      </c>
    </row>
    <row r="41" spans="1:13" x14ac:dyDescent="0.3">
      <c r="A41" s="22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CRL PROFILE</vt:lpstr>
      <vt:lpstr>LPL TESTS</vt:lpstr>
      <vt:lpstr>LPL PROFILE</vt:lpstr>
      <vt:lpstr>CRL TESTS</vt:lpstr>
      <vt:lpstr>SPECIALITY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kallathi kumar</dc:creator>
  <cp:lastModifiedBy>Sudheer Reddy</cp:lastModifiedBy>
  <dcterms:created xsi:type="dcterms:W3CDTF">2026-10-07T04:04:41Z</dcterms:created>
  <dcterms:modified xsi:type="dcterms:W3CDTF">2026-10-24T06:35:04Z</dcterms:modified>
</cp:coreProperties>
</file>